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ekremerakin/Desktop/5156237/"/>
    </mc:Choice>
  </mc:AlternateContent>
  <xr:revisionPtr revIDLastSave="0" documentId="13_ncr:1_{552F60F3-B4EF-8F45-8567-30E99C02684E}" xr6:coauthVersionLast="47" xr6:coauthVersionMax="47" xr10:uidLastSave="{00000000-0000-0000-0000-000000000000}"/>
  <bookViews>
    <workbookView xWindow="0" yWindow="740" windowWidth="34560" windowHeight="21600" activeTab="3" xr2:uid="{D6F7CEEC-2519-0240-A408-E8D132C1EB72}"/>
  </bookViews>
  <sheets>
    <sheet name="DM-Weight-Calculation" sheetId="1" r:id="rId1"/>
    <sheet name="Criteria-Weight-Calculation" sheetId="2" r:id="rId2"/>
    <sheet name="Constructing-R-Matrix" sheetId="3" r:id="rId3"/>
    <sheet name="S-Matrix-Final-Rankings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9" i="1" l="1"/>
  <c r="H42" i="4" a="1"/>
  <c r="H43" i="4" a="1"/>
  <c r="H44" i="4" a="1"/>
  <c r="H41" i="4" a="1"/>
  <c r="H29" i="4" a="1"/>
  <c r="H24" i="4" a="1"/>
  <c r="C29" i="4" a="1"/>
  <c r="G29" i="4" a="1"/>
  <c r="K29" i="4" a="1"/>
  <c r="I29" i="4" a="1"/>
  <c r="J29" i="4" a="1"/>
  <c r="E29" i="4" a="1"/>
  <c r="D29" i="4" a="1"/>
  <c r="F29" i="4" a="1"/>
  <c r="B29" i="4" a="1"/>
  <c r="C24" i="4" a="1"/>
  <c r="G24" i="4" a="1"/>
  <c r="K24" i="4" a="1"/>
  <c r="D24" i="4" a="1"/>
  <c r="E24" i="4" a="1"/>
  <c r="I24" i="4" a="1"/>
  <c r="J24" i="4" a="1"/>
  <c r="F24" i="4" a="1"/>
  <c r="B24" i="4" a="1"/>
  <c r="E29" i="1" a="1"/>
  <c r="E28" i="1" a="1"/>
  <c r="E27" i="1" a="1"/>
  <c r="I36" i="3" a="1"/>
  <c r="L36" i="3" a="1"/>
  <c r="E35" i="3" a="1"/>
  <c r="D35" i="3" a="1"/>
  <c r="G34" i="3" a="1"/>
  <c r="B26" i="2" a="1"/>
  <c r="L37" i="3" a="1"/>
  <c r="B24" i="2" a="1"/>
  <c r="I37" i="3" a="1"/>
  <c r="G35" i="3" a="1"/>
  <c r="I34" i="3" a="1"/>
  <c r="D37" i="3" a="1"/>
  <c r="B19" i="2" a="1"/>
  <c r="C37" i="3" a="1"/>
  <c r="J37" i="3" a="1"/>
  <c r="I35" i="3" a="1"/>
  <c r="D34" i="3" a="1"/>
  <c r="K34" i="3" a="1"/>
  <c r="B27" i="2" a="1"/>
  <c r="B23" i="2" a="1"/>
  <c r="L35" i="3" a="1"/>
  <c r="F36" i="3" a="1"/>
  <c r="E37" i="3" a="1"/>
  <c r="B21" i="2" a="1"/>
  <c r="F34" i="3" a="1"/>
  <c r="C34" i="3" a="1"/>
  <c r="G37" i="3" a="1"/>
  <c r="H35" i="3" a="1"/>
  <c r="G36" i="3" a="1"/>
  <c r="H34" i="3" a="1"/>
  <c r="B20" i="2" a="1"/>
  <c r="K36" i="3" a="1"/>
  <c r="C35" i="3" a="1"/>
  <c r="E34" i="3" a="1"/>
  <c r="J36" i="3" a="1"/>
  <c r="K35" i="3" a="1"/>
  <c r="H36" i="3" a="1"/>
  <c r="E36" i="3" a="1"/>
  <c r="D36" i="3" a="1"/>
  <c r="H37" i="3" a="1"/>
  <c r="F37" i="3" a="1"/>
  <c r="J34" i="3" a="1"/>
  <c r="B22" i="2" a="1"/>
  <c r="K37" i="3" a="1"/>
  <c r="L34" i="3" a="1"/>
  <c r="C36" i="3" a="1"/>
  <c r="B28" i="2" a="1"/>
  <c r="J35" i="3" a="1"/>
  <c r="F35" i="3" a="1"/>
  <c r="B25" i="2" a="1"/>
  <c r="H44" i="4" l="1"/>
  <c r="H43" i="4"/>
  <c r="H42" i="4"/>
  <c r="H41" i="4"/>
  <c r="H29" i="4"/>
  <c r="H24" i="4"/>
  <c r="F29" i="4"/>
  <c r="D29" i="4"/>
  <c r="E29" i="4"/>
  <c r="J29" i="4"/>
  <c r="I29" i="4"/>
  <c r="K29" i="4"/>
  <c r="G29" i="4"/>
  <c r="C29" i="4"/>
  <c r="B29" i="4"/>
  <c r="F24" i="4"/>
  <c r="J24" i="4"/>
  <c r="I24" i="4"/>
  <c r="E24" i="4"/>
  <c r="D24" i="4"/>
  <c r="K24" i="4"/>
  <c r="G24" i="4"/>
  <c r="C24" i="4"/>
  <c r="B24" i="4"/>
  <c r="E29" i="1"/>
  <c r="E28" i="1"/>
  <c r="E27" i="1"/>
  <c r="B19" i="2"/>
  <c r="C34" i="3"/>
  <c r="L37" i="3"/>
  <c r="D35" i="3"/>
  <c r="F37" i="3"/>
  <c r="H36" i="3"/>
  <c r="J35" i="3"/>
  <c r="I37" i="3"/>
  <c r="K36" i="3"/>
  <c r="G36" i="3"/>
  <c r="I35" i="3"/>
  <c r="E35" i="3"/>
  <c r="H37" i="3"/>
  <c r="D37" i="3"/>
  <c r="J36" i="3"/>
  <c r="F36" i="3"/>
  <c r="L35" i="3"/>
  <c r="H35" i="3"/>
  <c r="J37" i="3"/>
  <c r="L36" i="3"/>
  <c r="D36" i="3"/>
  <c r="F35" i="3"/>
  <c r="E37" i="3"/>
  <c r="C36" i="3"/>
  <c r="K37" i="3"/>
  <c r="G37" i="3"/>
  <c r="C37" i="3"/>
  <c r="I36" i="3"/>
  <c r="E36" i="3"/>
  <c r="K35" i="3"/>
  <c r="G35" i="3"/>
  <c r="C35" i="3"/>
  <c r="K34" i="3"/>
  <c r="G34" i="3"/>
  <c r="J34" i="3"/>
  <c r="F34" i="3"/>
  <c r="I34" i="3"/>
  <c r="E34" i="3"/>
  <c r="L34" i="3"/>
  <c r="H34" i="3"/>
  <c r="D34" i="3"/>
  <c r="B23" i="2"/>
  <c r="B27" i="2"/>
  <c r="B26" i="2"/>
  <c r="B22" i="2"/>
  <c r="B25" i="2"/>
  <c r="B21" i="2"/>
  <c r="B28" i="2"/>
  <c r="B24" i="2"/>
  <c r="B20" i="2"/>
  <c r="G5" i="2"/>
  <c r="C27" i="3"/>
  <c r="J3" i="2"/>
  <c r="D27" i="1"/>
  <c r="D24" i="3"/>
  <c r="O4" i="3"/>
  <c r="C20" i="3"/>
  <c r="D20" i="3"/>
  <c r="E20" i="3"/>
  <c r="F20" i="3"/>
  <c r="G20" i="3"/>
  <c r="H20" i="3"/>
  <c r="I20" i="3"/>
  <c r="J20" i="3"/>
  <c r="K20" i="3"/>
  <c r="L20" i="3"/>
  <c r="C21" i="3"/>
  <c r="D21" i="3"/>
  <c r="E21" i="3"/>
  <c r="F21" i="3"/>
  <c r="G21" i="3"/>
  <c r="H21" i="3"/>
  <c r="I21" i="3"/>
  <c r="J21" i="3"/>
  <c r="K21" i="3"/>
  <c r="L21" i="3"/>
  <c r="C22" i="3"/>
  <c r="D22" i="3"/>
  <c r="E22" i="3"/>
  <c r="F22" i="3"/>
  <c r="G22" i="3"/>
  <c r="H22" i="3"/>
  <c r="I22" i="3"/>
  <c r="J22" i="3"/>
  <c r="K22" i="3"/>
  <c r="L22" i="3"/>
  <c r="C23" i="3"/>
  <c r="D23" i="3"/>
  <c r="E23" i="3"/>
  <c r="F23" i="3"/>
  <c r="G23" i="3"/>
  <c r="H23" i="3"/>
  <c r="I23" i="3"/>
  <c r="J23" i="3"/>
  <c r="K23" i="3"/>
  <c r="L23" i="3"/>
  <c r="C24" i="3"/>
  <c r="E24" i="3"/>
  <c r="F24" i="3"/>
  <c r="G24" i="3"/>
  <c r="H24" i="3"/>
  <c r="I24" i="3"/>
  <c r="J24" i="3"/>
  <c r="K24" i="3"/>
  <c r="L24" i="3"/>
  <c r="C25" i="3"/>
  <c r="D25" i="3"/>
  <c r="E25" i="3"/>
  <c r="F25" i="3"/>
  <c r="G25" i="3"/>
  <c r="H25" i="3"/>
  <c r="I25" i="3"/>
  <c r="J25" i="3"/>
  <c r="K25" i="3"/>
  <c r="L25" i="3"/>
  <c r="C26" i="3"/>
  <c r="D26" i="3"/>
  <c r="E26" i="3"/>
  <c r="F26" i="3"/>
  <c r="G26" i="3"/>
  <c r="H26" i="3"/>
  <c r="I26" i="3"/>
  <c r="J26" i="3"/>
  <c r="K26" i="3"/>
  <c r="L26" i="3"/>
  <c r="D27" i="3"/>
  <c r="E27" i="3"/>
  <c r="F27" i="3"/>
  <c r="G27" i="3"/>
  <c r="H27" i="3"/>
  <c r="I27" i="3"/>
  <c r="J27" i="3"/>
  <c r="K27" i="3"/>
  <c r="L27" i="3"/>
  <c r="C28" i="3"/>
  <c r="D28" i="3"/>
  <c r="E28" i="3"/>
  <c r="F28" i="3"/>
  <c r="G28" i="3"/>
  <c r="H28" i="3"/>
  <c r="I28" i="3"/>
  <c r="J28" i="3"/>
  <c r="K28" i="3"/>
  <c r="L28" i="3"/>
  <c r="C29" i="3"/>
  <c r="D29" i="3"/>
  <c r="E29" i="3"/>
  <c r="F29" i="3"/>
  <c r="G29" i="3"/>
  <c r="H29" i="3"/>
  <c r="I29" i="3"/>
  <c r="J29" i="3"/>
  <c r="K29" i="3"/>
  <c r="L29" i="3"/>
  <c r="C30" i="3"/>
  <c r="D30" i="3"/>
  <c r="E30" i="3"/>
  <c r="F30" i="3"/>
  <c r="G30" i="3"/>
  <c r="H30" i="3"/>
  <c r="I30" i="3"/>
  <c r="J30" i="3"/>
  <c r="K30" i="3"/>
  <c r="L30" i="3"/>
  <c r="D19" i="3"/>
  <c r="E19" i="3"/>
  <c r="F19" i="3"/>
  <c r="G19" i="3"/>
  <c r="H19" i="3"/>
  <c r="I19" i="3"/>
  <c r="J19" i="3"/>
  <c r="K19" i="3"/>
  <c r="L19" i="3"/>
  <c r="C19" i="3"/>
  <c r="I6" i="2"/>
  <c r="I7" i="2"/>
  <c r="I8" i="2"/>
  <c r="I9" i="2"/>
  <c r="I10" i="2"/>
  <c r="I11" i="2"/>
  <c r="I12" i="2"/>
  <c r="I13" i="2"/>
  <c r="I14" i="2"/>
  <c r="H6" i="2"/>
  <c r="H7" i="2"/>
  <c r="H8" i="2"/>
  <c r="H9" i="2"/>
  <c r="H10" i="2"/>
  <c r="H11" i="2"/>
  <c r="H12" i="2"/>
  <c r="H13" i="2"/>
  <c r="H14" i="2"/>
  <c r="G6" i="2"/>
  <c r="G7" i="2"/>
  <c r="G8" i="2"/>
  <c r="G9" i="2"/>
  <c r="G10" i="2"/>
  <c r="G11" i="2"/>
  <c r="G12" i="2"/>
  <c r="G13" i="2"/>
  <c r="G14" i="2"/>
  <c r="H5" i="2"/>
  <c r="I5" i="2"/>
  <c r="D28" i="1"/>
  <c r="C15" i="4" a="1"/>
  <c r="B15" i="4" a="1"/>
  <c r="B17" i="4" a="1"/>
  <c r="C15" i="4" l="1"/>
  <c r="B15" i="4"/>
  <c r="B17" i="4"/>
  <c r="G16" i="4" a="1"/>
  <c r="K18" i="4" a="1"/>
  <c r="I16" i="4" a="1"/>
  <c r="C17" i="4" a="1"/>
  <c r="G15" i="4" a="1"/>
  <c r="D18" i="4" a="1"/>
  <c r="C18" i="4" a="1"/>
  <c r="I15" i="4" a="1"/>
  <c r="F18" i="4" a="1"/>
  <c r="D17" i="4" a="1"/>
  <c r="C16" i="4" a="1"/>
  <c r="J15" i="4" a="1"/>
  <c r="H17" i="4" a="1"/>
  <c r="F17" i="4" a="1"/>
  <c r="K16" i="4" a="1"/>
  <c r="J16" i="4" a="1"/>
  <c r="E18" i="4" a="1"/>
  <c r="K15" i="4" a="1"/>
  <c r="H15" i="4" a="1"/>
  <c r="I18" i="4" a="1"/>
  <c r="J17" i="4" a="1"/>
  <c r="B16" i="4" a="1"/>
  <c r="E17" i="4" a="1"/>
  <c r="F16" i="4" a="1"/>
  <c r="B18" i="4" a="1"/>
  <c r="E16" i="4" a="1"/>
  <c r="K17" i="4" a="1"/>
  <c r="D16" i="4" a="1"/>
  <c r="F15" i="4" a="1"/>
  <c r="H16" i="4" a="1"/>
  <c r="G18" i="4" a="1"/>
  <c r="D15" i="4" a="1"/>
  <c r="I17" i="4" a="1"/>
  <c r="E15" i="4" a="1"/>
  <c r="G17" i="4" a="1"/>
  <c r="H18" i="4" a="1"/>
  <c r="J18" i="4" a="1"/>
  <c r="E15" i="4" l="1"/>
  <c r="C18" i="4"/>
  <c r="J18" i="4"/>
  <c r="H15" i="4"/>
  <c r="I18" i="4"/>
  <c r="G15" i="4"/>
  <c r="G18" i="4"/>
  <c r="K15" i="4"/>
  <c r="E18" i="4"/>
  <c r="J17" i="4"/>
  <c r="B16" i="4"/>
  <c r="F18" i="4"/>
  <c r="K17" i="4"/>
  <c r="D18" i="4"/>
  <c r="I17" i="4"/>
  <c r="D15" i="4"/>
  <c r="E17" i="4"/>
  <c r="B18" i="4"/>
  <c r="H18" i="4"/>
  <c r="K16" i="4"/>
  <c r="H17" i="4"/>
  <c r="G17" i="4"/>
  <c r="F17" i="4"/>
  <c r="G16" i="4"/>
  <c r="D17" i="4"/>
  <c r="D16" i="4"/>
  <c r="C17" i="4"/>
  <c r="H16" i="4"/>
  <c r="C16" i="4"/>
  <c r="J16" i="4"/>
  <c r="F15" i="4"/>
  <c r="I16" i="4"/>
  <c r="J15" i="4"/>
  <c r="I15" i="4"/>
  <c r="F16" i="4"/>
  <c r="K18" i="4"/>
  <c r="E16" i="4"/>
  <c r="H36" i="4" a="1"/>
  <c r="B35" i="4" a="1"/>
  <c r="F43" i="4" a="1"/>
  <c r="J37" i="4" a="1"/>
  <c r="G44" i="4" a="1"/>
  <c r="E43" i="4" a="1"/>
  <c r="C36" i="4" a="1"/>
  <c r="C43" i="4" a="1"/>
  <c r="D37" i="4" a="1"/>
  <c r="D44" i="4" a="1"/>
  <c r="H35" i="4" a="1"/>
  <c r="B37" i="4" a="1"/>
  <c r="F44" i="4" a="1"/>
  <c r="J36" i="4" a="1"/>
  <c r="G43" i="4" a="1"/>
  <c r="E44" i="4" a="1"/>
  <c r="C37" i="4" a="1"/>
  <c r="C44" i="4" a="1"/>
  <c r="D35" i="4" a="1"/>
  <c r="D42" i="4" a="1"/>
  <c r="H34" i="4" a="1"/>
  <c r="B36" i="4" a="1"/>
  <c r="F42" i="4" a="1"/>
  <c r="J34" i="4" a="1"/>
  <c r="G41" i="4" a="1"/>
  <c r="E41" i="4" a="1"/>
  <c r="C34" i="4" a="1"/>
  <c r="C41" i="4" a="1"/>
  <c r="D36" i="4" a="1"/>
  <c r="D43" i="4" a="1"/>
  <c r="H37" i="4" a="1"/>
  <c r="G35" i="4" a="1"/>
  <c r="E35" i="4" a="1"/>
  <c r="J42" i="4" a="1"/>
  <c r="K34" i="4" a="1"/>
  <c r="K41" i="4" a="1"/>
  <c r="I35" i="4" a="1"/>
  <c r="I42" i="4" a="1"/>
  <c r="B34" i="4" a="1"/>
  <c r="B42" i="4" a="1"/>
  <c r="F34" i="4" a="1"/>
  <c r="G37" i="4" a="1"/>
  <c r="E36" i="4" a="1"/>
  <c r="J44" i="4" a="1"/>
  <c r="K36" i="4" a="1"/>
  <c r="K43" i="4" a="1"/>
  <c r="I36" i="4" a="1"/>
  <c r="I43" i="4" a="1"/>
  <c r="B44" i="4" a="1"/>
  <c r="F36" i="4" a="1"/>
  <c r="G36" i="4" a="1"/>
  <c r="E37" i="4" a="1"/>
  <c r="J43" i="4" a="1"/>
  <c r="K37" i="4" a="1"/>
  <c r="K44" i="4" a="1"/>
  <c r="I37" i="4" a="1"/>
  <c r="I44" i="4" a="1"/>
  <c r="B43" i="4" a="1"/>
  <c r="F37" i="4" a="1"/>
  <c r="G34" i="4" a="1"/>
  <c r="E34" i="4" a="1"/>
  <c r="J41" i="4" a="1"/>
  <c r="K35" i="4" a="1"/>
  <c r="K42" i="4" a="1"/>
  <c r="I34" i="4" a="1"/>
  <c r="I41" i="4" a="1"/>
  <c r="B41" i="4" a="1"/>
  <c r="F35" i="4" a="1"/>
  <c r="F41" i="4" a="1"/>
  <c r="J35" i="4" a="1"/>
  <c r="G42" i="4" a="1"/>
  <c r="E42" i="4" a="1"/>
  <c r="C35" i="4" a="1"/>
  <c r="C42" i="4" a="1"/>
  <c r="D34" i="4" a="1"/>
  <c r="D41" i="4" a="1"/>
  <c r="D43" i="4" l="1"/>
  <c r="D42" i="4"/>
  <c r="D44" i="4"/>
  <c r="D41" i="4"/>
  <c r="I41" i="4"/>
  <c r="I44" i="4"/>
  <c r="I43" i="4"/>
  <c r="I42" i="4"/>
  <c r="D36" i="4"/>
  <c r="D35" i="4"/>
  <c r="D37" i="4"/>
  <c r="D34" i="4"/>
  <c r="I34" i="4"/>
  <c r="I37" i="4"/>
  <c r="I36" i="4"/>
  <c r="I35" i="4"/>
  <c r="C41" i="4"/>
  <c r="C44" i="4"/>
  <c r="C43" i="4"/>
  <c r="C42" i="4"/>
  <c r="K42" i="4"/>
  <c r="K44" i="4"/>
  <c r="K43" i="4"/>
  <c r="K41" i="4"/>
  <c r="C34" i="4"/>
  <c r="C37" i="4"/>
  <c r="C36" i="4"/>
  <c r="C35" i="4"/>
  <c r="K35" i="4"/>
  <c r="K37" i="4"/>
  <c r="K36" i="4"/>
  <c r="K34" i="4"/>
  <c r="E41" i="4"/>
  <c r="E44" i="4"/>
  <c r="E43" i="4"/>
  <c r="E42" i="4"/>
  <c r="J41" i="4"/>
  <c r="J43" i="4"/>
  <c r="J44" i="4"/>
  <c r="J42" i="4"/>
  <c r="G41" i="4"/>
  <c r="G43" i="4"/>
  <c r="G44" i="4"/>
  <c r="G42" i="4"/>
  <c r="E34" i="4"/>
  <c r="E37" i="4"/>
  <c r="E36" i="4"/>
  <c r="E35" i="4"/>
  <c r="J34" i="4"/>
  <c r="J36" i="4"/>
  <c r="J37" i="4"/>
  <c r="J35" i="4"/>
  <c r="G34" i="4"/>
  <c r="G36" i="4"/>
  <c r="G37" i="4"/>
  <c r="G35" i="4"/>
  <c r="F42" i="4"/>
  <c r="F44" i="4"/>
  <c r="F43" i="4"/>
  <c r="F41" i="4"/>
  <c r="B36" i="4"/>
  <c r="B37" i="4"/>
  <c r="B35" i="4"/>
  <c r="F35" i="4"/>
  <c r="F37" i="4"/>
  <c r="F36" i="4"/>
  <c r="F34" i="4"/>
  <c r="H37" i="4"/>
  <c r="H34" i="4"/>
  <c r="H35" i="4"/>
  <c r="H36" i="4"/>
  <c r="B41" i="4"/>
  <c r="B43" i="4"/>
  <c r="B44" i="4"/>
  <c r="B42" i="4"/>
  <c r="B34" i="4"/>
  <c r="B50" i="4" a="1"/>
  <c r="C51" i="4" a="1"/>
  <c r="B51" i="4" a="1"/>
  <c r="C53" i="4" a="1"/>
  <c r="B53" i="4" a="1"/>
  <c r="C52" i="4" a="1"/>
  <c r="B52" i="4" a="1"/>
  <c r="C50" i="4" a="1"/>
  <c r="C50" i="4" l="1"/>
  <c r="B52" i="4"/>
  <c r="C52" i="4"/>
  <c r="B53" i="4"/>
  <c r="C53" i="4"/>
  <c r="B51" i="4"/>
  <c r="C51" i="4"/>
  <c r="B50" i="4"/>
  <c r="D50" i="4" a="1"/>
  <c r="D53" i="4" a="1"/>
  <c r="D52" i="4" a="1"/>
  <c r="D51" i="4" a="1"/>
  <c r="D50" i="4" l="1"/>
  <c r="D51" i="4"/>
  <c r="D52" i="4"/>
  <c r="D53" i="4"/>
  <c r="E53" i="4"/>
  <c r="E51" i="4"/>
  <c r="E50" i="4" l="1"/>
  <c r="E52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<sst xmlns="http://schemas.openxmlformats.org/spreadsheetml/2006/main" count="465" uniqueCount="122">
  <si>
    <t>Table 3</t>
  </si>
  <si>
    <t>Linguistic terms for weights of criteria</t>
  </si>
  <si>
    <t>Linguistic Terms</t>
  </si>
  <si>
    <t xml:space="preserve">Intuitionistic Fuzzy Numbers (IFNs) </t>
  </si>
  <si>
    <t>Very Important</t>
  </si>
  <si>
    <t>VI</t>
  </si>
  <si>
    <t>Important</t>
  </si>
  <si>
    <t>I</t>
  </si>
  <si>
    <t>Medium</t>
  </si>
  <si>
    <t>M</t>
  </si>
  <si>
    <t>Unimportant</t>
  </si>
  <si>
    <t>U</t>
  </si>
  <si>
    <t>Very Unimportant</t>
  </si>
  <si>
    <t>VU</t>
  </si>
  <si>
    <t>Table 4</t>
  </si>
  <si>
    <t>Linguistic terms for rating the alternatives</t>
  </si>
  <si>
    <t>Very good</t>
  </si>
  <si>
    <t>VG</t>
  </si>
  <si>
    <t>Good</t>
  </si>
  <si>
    <t>G</t>
  </si>
  <si>
    <t>Medium good</t>
  </si>
  <si>
    <t>MG</t>
  </si>
  <si>
    <t>Fair</t>
  </si>
  <si>
    <t>F</t>
  </si>
  <si>
    <t>Medium poor</t>
  </si>
  <si>
    <t>MP</t>
  </si>
  <si>
    <t>Poor</t>
  </si>
  <si>
    <t>P</t>
  </si>
  <si>
    <t>Very poor</t>
  </si>
  <si>
    <t>VP</t>
  </si>
  <si>
    <t>(μk ; vk ; πk)</t>
  </si>
  <si>
    <t>(0.9;0.1;0)</t>
  </si>
  <si>
    <t>(0.75;0.2;0.05)</t>
  </si>
  <si>
    <t>(0.5;0.45;0.05)</t>
  </si>
  <si>
    <t>(0.35;0.6;0.05)</t>
  </si>
  <si>
    <t>(0.1;0.9;0)</t>
  </si>
  <si>
    <t>(1;0;0)</t>
  </si>
  <si>
    <t>(0.85;0.05;0.1)</t>
  </si>
  <si>
    <t>(0.7;0.2;0.1)</t>
  </si>
  <si>
    <t>(0.5;0.5;0)</t>
  </si>
  <si>
    <t>(0.4;0.5;0.1)</t>
  </si>
  <si>
    <t>(0.25;0.6;0.15)</t>
  </si>
  <si>
    <t>(0;0.9;0.1)</t>
  </si>
  <si>
    <t>DM1</t>
  </si>
  <si>
    <t>DM2</t>
  </si>
  <si>
    <t>DM3</t>
  </si>
  <si>
    <t>Table 5</t>
  </si>
  <si>
    <t>Importance weights of criteria based on opinion of DMs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</si>
  <si>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</si>
  <si>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</si>
  <si>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</si>
  <si>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</si>
  <si>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</si>
  <si>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</si>
  <si>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</si>
  <si>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</si>
  <si>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</si>
  <si>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</si>
  <si>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Table 6</t>
  </si>
  <si>
    <t>Weights of criteria</t>
  </si>
  <si>
    <t>A1</t>
  </si>
  <si>
    <t>A2</t>
  </si>
  <si>
    <t>A3</t>
  </si>
  <si>
    <t>A4</t>
  </si>
  <si>
    <t xml:space="preserve">Table 7 </t>
  </si>
  <si>
    <t>Importance of alternatives based on criteria</t>
  </si>
  <si>
    <t>Table 8</t>
  </si>
  <si>
    <t>R Matrix</t>
  </si>
  <si>
    <t>(0.78;0.11;0.11)</t>
  </si>
  <si>
    <t>(0.8;0.09;0.11)</t>
  </si>
  <si>
    <t>(0.64;0.27;0.08)</t>
  </si>
  <si>
    <t>(0.63;0.29;0.08)</t>
  </si>
  <si>
    <t>(0.74;0.15;0.11)</t>
  </si>
  <si>
    <t>(0.59;0.36;0.06)</t>
  </si>
  <si>
    <t>(0.7;0.2;0.11)</t>
  </si>
  <si>
    <t>(0.81;0.08;0.11)</t>
  </si>
  <si>
    <t>(0.77;0.12;0.11)</t>
  </si>
  <si>
    <t>(0.58;0.34;0.08)</t>
  </si>
  <si>
    <t>(0.43;0.53;0.04)</t>
  </si>
  <si>
    <t>(0.37;0.52;0.11)</t>
  </si>
  <si>
    <t>(0.39;0.54;0.08)</t>
  </si>
  <si>
    <t>(0.48;0.43;0.09)</t>
  </si>
  <si>
    <t>(0.34;0.63;0.03)</t>
  </si>
  <si>
    <t>(0.83;0.07;0.11)</t>
  </si>
  <si>
    <t>(0.8;0.17;0.03)</t>
  </si>
  <si>
    <t xml:space="preserve">Table 9 </t>
  </si>
  <si>
    <t>S Matrix</t>
  </si>
  <si>
    <t>Table 10</t>
  </si>
  <si>
    <t>A+</t>
  </si>
  <si>
    <t>Table 11</t>
  </si>
  <si>
    <t>A-</t>
  </si>
  <si>
    <t>S+</t>
  </si>
  <si>
    <t>S-</t>
  </si>
  <si>
    <t>C*</t>
  </si>
  <si>
    <t>=TFNSMatrix(B$11,B7)</t>
  </si>
  <si>
    <t>=TFNIdealMaxBul(B15:B18)</t>
  </si>
  <si>
    <t>Ranking</t>
  </si>
  <si>
    <t>Table 12 Separation measures between the alternatives and final ranking</t>
  </si>
  <si>
    <t>λ</t>
  </si>
  <si>
    <t>(0.83;0.15;0.02)</t>
  </si>
  <si>
    <t>(0.68;0.26;0.05)</t>
  </si>
  <si>
    <t>(0.47;0.48;0.05)</t>
  </si>
  <si>
    <t>(0.82;0.15;0.02)</t>
  </si>
  <si>
    <t>(0.63;0.35;0.03)</t>
  </si>
  <si>
    <t>(0.59;0.36;0.05)</t>
  </si>
  <si>
    <t>(0.39;0.56;0.05)</t>
  </si>
  <si>
    <t>(0.79;0.19;0.02)</t>
  </si>
  <si>
    <t>Table 11.1 seperation from negative ideal (part1)</t>
  </si>
  <si>
    <t>(her bir kriterin negatif ideal çözümden farkının karesi)</t>
  </si>
  <si>
    <t>Table 10.1 seperation from positive ideal (part1)</t>
  </si>
  <si>
    <t>(DM1;DM2;DM3)</t>
  </si>
  <si>
    <t>Step 1:Determine the weights of the importance of DMs</t>
  </si>
  <si>
    <t>Step 2: Determine the weight of criteria based on the opinion of decision-makers (W)</t>
  </si>
  <si>
    <t>DM Weights</t>
  </si>
  <si>
    <t>Table 5.1 IFNs</t>
  </si>
  <si>
    <t>Step 3: Determine Intuitionistic Fuzzy Decision Matrix (IFDM)</t>
  </si>
  <si>
    <t>Table 7.1 - IFNs</t>
  </si>
  <si>
    <t>Step 4: The calculation of the S matrix</t>
  </si>
  <si>
    <t>Step 5: Determine intuitionistic fuzzy positive and negative-ideal solutions</t>
  </si>
  <si>
    <t>Step 6: Determine the separation measures between the alternatives</t>
  </si>
  <si>
    <t>Step 7:  Determine the final ranking</t>
  </si>
  <si>
    <t>Reproducing Intuitionistic Fuzzy Topsis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</si>
</sst>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5" formatCode="0.0000"/>
    <numFmt numFmtId="166" formatCode="0.00000"/>
  </numFmts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0"/>
      <color theme="1"/>
      <name val="Aharoni Bold"/>
    </font>
    <font>
      <b/>
      <i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4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4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/>
    <xf numFmtId="0" fontId="0" fillId="0" borderId="8" xfId="0" applyBorder="1"/>
    <xf numFmtId="0" fontId="0" fillId="0" borderId="0" xfId="0" applyFill="1" applyBorder="1" applyAlignment="1">
      <alignment horizontal="center"/>
    </xf>
    <xf numFmtId="0" fontId="0" fillId="0" borderId="2" xfId="0" applyBorder="1"/>
    <xf numFmtId="0" fontId="0" fillId="0" borderId="9" xfId="0" applyBorder="1"/>
    <xf numFmtId="0" fontId="0" fillId="0" borderId="4" xfId="0" applyBorder="1" applyAlignment="1">
      <alignment horizontal="center"/>
    </xf>
    <xf numFmtId="0" fontId="0" fillId="0" borderId="10" xfId="0" applyBorder="1"/>
    <xf numFmtId="0" fontId="0" fillId="0" borderId="11" xfId="0" applyBorder="1" applyAlignment="1">
      <alignment horizontal="center"/>
    </xf>
    <xf numFmtId="0" fontId="0" fillId="0" borderId="5" xfId="0" applyBorder="1"/>
    <xf numFmtId="0" fontId="0" fillId="0" borderId="7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2" xfId="0" applyFill="1" applyBorder="1"/>
    <xf numFmtId="0" fontId="0" fillId="0" borderId="12" xfId="0" applyFill="1" applyBorder="1" applyAlignment="1">
      <alignment horizontal="center"/>
    </xf>
    <xf numFmtId="0" fontId="0" fillId="0" borderId="13" xfId="0" applyBorder="1"/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/>
    <xf numFmtId="0" fontId="0" fillId="0" borderId="17" xfId="0" applyFill="1" applyBorder="1"/>
    <xf numFmtId="0" fontId="0" fillId="0" borderId="17" xfId="0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0" xfId="0" quotePrefix="1"/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3" xfId="0" applyBorder="1"/>
    <xf numFmtId="0" fontId="0" fillId="0" borderId="0" xfId="0" applyBorder="1"/>
    <xf numFmtId="0" fontId="0" fillId="0" borderId="6" xfId="0" applyBorder="1"/>
    <xf numFmtId="0" fontId="5" fillId="0" borderId="0" xfId="0" applyFont="1"/>
    <xf numFmtId="165" fontId="0" fillId="0" borderId="0" xfId="0" applyNumberFormat="1"/>
    <xf numFmtId="0" fontId="2" fillId="0" borderId="0" xfId="0" applyFont="1" applyFill="1" applyBorder="1" applyAlignment="1">
      <alignment horizontal="left"/>
    </xf>
    <xf numFmtId="0" fontId="2" fillId="0" borderId="4" xfId="0" applyFont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0" xfId="0" quotePrefix="1" applyBorder="1" applyAlignment="1">
      <alignment horizontal="left"/>
    </xf>
    <xf numFmtId="0" fontId="0" fillId="0" borderId="21" xfId="0" applyBorder="1"/>
    <xf numFmtId="0" fontId="0" fillId="0" borderId="22" xfId="0" applyBorder="1"/>
    <xf numFmtId="0" fontId="1" fillId="0" borderId="22" xfId="0" applyFont="1" applyBorder="1" applyAlignment="1">
      <alignment horizontal="center"/>
    </xf>
    <xf numFmtId="0" fontId="1" fillId="0" borderId="23" xfId="0" applyFont="1" applyBorder="1" applyAlignment="1">
      <alignment horizontal="center"/>
    </xf>
    <xf numFmtId="0" fontId="1" fillId="0" borderId="14" xfId="0" applyFont="1" applyBorder="1" applyAlignment="1">
      <alignment horizontal="center" vertical="center"/>
    </xf>
    <xf numFmtId="0" fontId="0" fillId="0" borderId="24" xfId="0" applyBorder="1" applyAlignment="1">
      <alignment horizontal="center"/>
    </xf>
    <xf numFmtId="0" fontId="1" fillId="0" borderId="15" xfId="0" applyFont="1" applyBorder="1" applyAlignment="1">
      <alignment horizontal="center" vertical="center"/>
    </xf>
    <xf numFmtId="0" fontId="0" fillId="0" borderId="25" xfId="0" applyBorder="1" applyAlignment="1">
      <alignment horizontal="center"/>
    </xf>
    <xf numFmtId="0" fontId="1" fillId="0" borderId="18" xfId="0" applyFont="1" applyBorder="1" applyAlignment="1">
      <alignment horizontal="center" vertical="center"/>
    </xf>
    <xf numFmtId="0" fontId="0" fillId="0" borderId="26" xfId="0" applyBorder="1" applyAlignment="1">
      <alignment horizontal="center"/>
    </xf>
    <xf numFmtId="0" fontId="1" fillId="0" borderId="28" xfId="0" applyFont="1" applyBorder="1" applyAlignment="1">
      <alignment horizontal="center" vertic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28" xfId="0" applyBorder="1" applyAlignment="1">
      <alignment horizontal="center"/>
    </xf>
    <xf numFmtId="0" fontId="1" fillId="0" borderId="19" xfId="0" applyFont="1" applyBorder="1" applyAlignment="1">
      <alignment horizontal="center" vertical="center"/>
    </xf>
    <xf numFmtId="0" fontId="0" fillId="0" borderId="32" xfId="0" applyBorder="1" applyAlignment="1">
      <alignment horizontal="center"/>
    </xf>
    <xf numFmtId="0" fontId="0" fillId="0" borderId="20" xfId="0" applyBorder="1" applyAlignment="1">
      <alignment horizontal="center"/>
    </xf>
    <xf numFmtId="0" fontId="1" fillId="0" borderId="9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0" fontId="1" fillId="0" borderId="27" xfId="0" applyFont="1" applyBorder="1" applyAlignment="1">
      <alignment horizontal="center" vertical="center"/>
    </xf>
    <xf numFmtId="0" fontId="1" fillId="0" borderId="31" xfId="0" applyFont="1" applyBorder="1" applyAlignment="1">
      <alignment horizontal="center" vertical="center"/>
    </xf>
    <xf numFmtId="0" fontId="3" fillId="0" borderId="0" xfId="0" applyFont="1"/>
    <xf numFmtId="0" fontId="1" fillId="0" borderId="0" xfId="0" applyFont="1" applyAlignment="1">
      <alignment horizontal="left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1" fillId="0" borderId="35" xfId="0" applyFont="1" applyBorder="1" applyAlignment="1">
      <alignment horizontal="center" vertical="center"/>
    </xf>
    <xf numFmtId="0" fontId="1" fillId="0" borderId="36" xfId="0" applyFont="1" applyBorder="1" applyAlignment="1">
      <alignment horizontal="center" vertical="center"/>
    </xf>
    <xf numFmtId="0" fontId="1" fillId="0" borderId="37" xfId="0" applyFont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left"/>
    </xf>
    <xf numFmtId="0" fontId="5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/>
    <xf numFmtId="0" fontId="1" fillId="0" borderId="0" xfId="0" applyFont="1" applyAlignment="1">
      <alignment horizontal="left" vertical="center"/>
    </xf>
    <xf numFmtId="0" fontId="6" fillId="0" borderId="38" xfId="0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0" fillId="2" borderId="0" xfId="0" applyFill="1"/>
    <xf numFmtId="0" fontId="0" fillId="3" borderId="9" xfId="0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0" fillId="4" borderId="35" xfId="0" applyFill="1" applyBorder="1" applyAlignment="1">
      <alignment horizontal="center"/>
    </xf>
    <xf numFmtId="0" fontId="0" fillId="4" borderId="33" xfId="0" applyFill="1" applyBorder="1" applyAlignment="1">
      <alignment horizontal="center"/>
    </xf>
    <xf numFmtId="0" fontId="2" fillId="5" borderId="38" xfId="0" applyFont="1" applyFill="1" applyBorder="1"/>
    <xf numFmtId="0" fontId="1" fillId="5" borderId="40" xfId="0" applyFont="1" applyFill="1" applyBorder="1"/>
    <xf numFmtId="0" fontId="1" fillId="5" borderId="41" xfId="0" applyFont="1" applyFill="1" applyBorder="1"/>
    <xf numFmtId="0" fontId="0" fillId="5" borderId="41" xfId="0" applyFill="1" applyBorder="1"/>
    <xf numFmtId="0" fontId="5" fillId="5" borderId="38" xfId="0" applyFont="1" applyFill="1" applyBorder="1"/>
    <xf numFmtId="0" fontId="6" fillId="5" borderId="40" xfId="0" applyFont="1" applyFill="1" applyBorder="1"/>
    <xf numFmtId="0" fontId="5" fillId="5" borderId="38" xfId="0" applyFont="1" applyFill="1" applyBorder="1" applyAlignment="1">
      <alignment horizontal="left"/>
    </xf>
    <xf numFmtId="0" fontId="0" fillId="5" borderId="40" xfId="0" applyFill="1" applyBorder="1"/>
    <xf numFmtId="166" fontId="0" fillId="0" borderId="39" xfId="0" applyNumberFormat="1" applyBorder="1" applyAlignment="1">
      <alignment horizontal="center"/>
    </xf>
    <xf numFmtId="0" fontId="0" fillId="0" borderId="12" xfId="0" applyBorder="1"/>
    <xf numFmtId="0" fontId="0" fillId="0" borderId="35" xfId="0" applyBorder="1" applyAlignment="1">
      <alignment vertical="center"/>
    </xf>
    <xf numFmtId="0" fontId="0" fillId="0" borderId="36" xfId="0" applyBorder="1" applyAlignment="1">
      <alignment vertical="center"/>
    </xf>
    <xf numFmtId="0" fontId="0" fillId="0" borderId="37" xfId="0" applyBorder="1" applyAlignment="1">
      <alignment vertical="center"/>
    </xf>
    <xf numFmtId="0" fontId="1" fillId="0" borderId="42" xfId="0" applyFont="1" applyBorder="1" applyAlignment="1">
      <alignment horizontal="center" vertical="center"/>
    </xf>
    <xf numFmtId="0" fontId="1" fillId="0" borderId="45" xfId="0" applyFont="1" applyBorder="1" applyAlignment="1">
      <alignment horizontal="center" vertical="center"/>
    </xf>
    <xf numFmtId="0" fontId="1" fillId="0" borderId="46" xfId="0" applyFont="1" applyBorder="1" applyAlignment="1">
      <alignment horizontal="center" vertical="center"/>
    </xf>
    <xf numFmtId="0" fontId="1" fillId="0" borderId="47" xfId="0" applyFont="1" applyBorder="1" applyAlignment="1">
      <alignment horizontal="center" vertical="center"/>
    </xf>
    <xf numFmtId="0" fontId="1" fillId="0" borderId="33" xfId="0" applyFont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165" fontId="0" fillId="0" borderId="48" xfId="0" applyNumberFormat="1" applyBorder="1" applyAlignment="1">
      <alignment horizontal="center" vertical="center"/>
    </xf>
    <xf numFmtId="165" fontId="0" fillId="0" borderId="43" xfId="0" applyNumberFormat="1" applyBorder="1" applyAlignment="1">
      <alignment horizontal="center" vertical="center"/>
    </xf>
    <xf numFmtId="165" fontId="0" fillId="0" borderId="34" xfId="0" applyNumberFormat="1" applyBorder="1" applyAlignment="1">
      <alignment horizontal="center" vertical="center"/>
    </xf>
    <xf numFmtId="165" fontId="0" fillId="0" borderId="44" xfId="0" applyNumberForma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432536</xdr:colOff>
      <xdr:row>21</xdr:row>
      <xdr:rowOff>147247</xdr:rowOff>
    </xdr:from>
    <xdr:to>
      <xdr:col>11</xdr:col>
      <xdr:colOff>524098</xdr:colOff>
      <xdr:row>30</xdr:row>
      <xdr:rowOff>124114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154A483-6A2F-7C4E-98F1-697DE278F0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55000" y="4435798"/>
          <a:ext cx="2576344" cy="190027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20321</xdr:colOff>
      <xdr:row>18</xdr:row>
      <xdr:rowOff>20320</xdr:rowOff>
    </xdr:from>
    <xdr:to>
      <xdr:col>8</xdr:col>
      <xdr:colOff>467361</xdr:colOff>
      <xdr:row>22</xdr:row>
      <xdr:rowOff>46155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674DE5A-8562-554B-8145-9BAEB7DAC1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97201" y="3708400"/>
          <a:ext cx="5486400" cy="838635"/>
        </a:xfrm>
        <a:prstGeom prst="rect">
          <a:avLst/>
        </a:prstGeom>
      </xdr:spPr>
    </xdr:pic>
    <xdr:clientData/>
  </xdr:twoCellAnchor>
  <xdr:twoCellAnchor editAs="oneCell">
    <xdr:from>
      <xdr:col>3</xdr:col>
      <xdr:colOff>20321</xdr:colOff>
      <xdr:row>17</xdr:row>
      <xdr:rowOff>182880</xdr:rowOff>
    </xdr:from>
    <xdr:to>
      <xdr:col>9</xdr:col>
      <xdr:colOff>693421</xdr:colOff>
      <xdr:row>24</xdr:row>
      <xdr:rowOff>118469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256294D-237A-1D4C-8CDC-D92B871638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97201" y="3677920"/>
          <a:ext cx="6819900" cy="135798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88900</xdr:colOff>
      <xdr:row>39</xdr:row>
      <xdr:rowOff>25400</xdr:rowOff>
    </xdr:from>
    <xdr:to>
      <xdr:col>7</xdr:col>
      <xdr:colOff>685800</xdr:colOff>
      <xdr:row>45</xdr:row>
      <xdr:rowOff>164189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7121084-2D79-4944-9E87-C4D41B7A9E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14400" y="8293100"/>
          <a:ext cx="6819900" cy="135798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799875</xdr:colOff>
      <xdr:row>8</xdr:row>
      <xdr:rowOff>88851</xdr:rowOff>
    </xdr:from>
    <xdr:to>
      <xdr:col>18</xdr:col>
      <xdr:colOff>517232</xdr:colOff>
      <xdr:row>12</xdr:row>
      <xdr:rowOff>89827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1200CD5-E2F0-6140-901A-29B1FABCD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29451" y="1853936"/>
          <a:ext cx="5518459" cy="840467"/>
        </a:xfrm>
        <a:prstGeom prst="rect">
          <a:avLst/>
        </a:prstGeom>
      </xdr:spPr>
    </xdr:pic>
    <xdr:clientData/>
  </xdr:twoCellAnchor>
  <xdr:twoCellAnchor editAs="oneCell">
    <xdr:from>
      <xdr:col>11</xdr:col>
      <xdr:colOff>810637</xdr:colOff>
      <xdr:row>1</xdr:row>
      <xdr:rowOff>243192</xdr:rowOff>
    </xdr:from>
    <xdr:to>
      <xdr:col>18</xdr:col>
      <xdr:colOff>483409</xdr:colOff>
      <xdr:row>7</xdr:row>
      <xdr:rowOff>29754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D3A6A7B-1518-9D48-8F5C-0E0327E3EE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83722" y="445852"/>
          <a:ext cx="5441815" cy="1083583"/>
        </a:xfrm>
        <a:prstGeom prst="rect">
          <a:avLst/>
        </a:prstGeom>
      </xdr:spPr>
    </xdr:pic>
    <xdr:clientData/>
  </xdr:twoCellAnchor>
  <xdr:twoCellAnchor editAs="oneCell">
    <xdr:from>
      <xdr:col>11</xdr:col>
      <xdr:colOff>743084</xdr:colOff>
      <xdr:row>13</xdr:row>
      <xdr:rowOff>202662</xdr:rowOff>
    </xdr:from>
    <xdr:to>
      <xdr:col>19</xdr:col>
      <xdr:colOff>476653</xdr:colOff>
      <xdr:row>18</xdr:row>
      <xdr:rowOff>161305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CC3D518-414B-1544-AB4E-757CD61F17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916169" y="2958832"/>
          <a:ext cx="6326761" cy="998962"/>
        </a:xfrm>
        <a:prstGeom prst="rect">
          <a:avLst/>
        </a:prstGeom>
      </xdr:spPr>
    </xdr:pic>
    <xdr:clientData/>
  </xdr:twoCellAnchor>
  <xdr:twoCellAnchor editAs="oneCell">
    <xdr:from>
      <xdr:col>11</xdr:col>
      <xdr:colOff>815772</xdr:colOff>
      <xdr:row>33</xdr:row>
      <xdr:rowOff>39721</xdr:rowOff>
    </xdr:from>
    <xdr:to>
      <xdr:col>19</xdr:col>
      <xdr:colOff>318309</xdr:colOff>
      <xdr:row>43</xdr:row>
      <xdr:rowOff>181347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2558012-896A-CB44-AE35-D3B458733D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944272" y="7126321"/>
          <a:ext cx="6106537" cy="2173626"/>
        </a:xfrm>
        <a:prstGeom prst="rect">
          <a:avLst/>
        </a:prstGeom>
      </xdr:spPr>
    </xdr:pic>
    <xdr:clientData/>
  </xdr:twoCellAnchor>
  <xdr:twoCellAnchor editAs="oneCell">
    <xdr:from>
      <xdr:col>6</xdr:col>
      <xdr:colOff>62419</xdr:colOff>
      <xdr:row>48</xdr:row>
      <xdr:rowOff>12701</xdr:rowOff>
    </xdr:from>
    <xdr:to>
      <xdr:col>7</xdr:col>
      <xdr:colOff>799019</xdr:colOff>
      <xdr:row>52</xdr:row>
      <xdr:rowOff>15350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5C691985-A61F-FB45-A021-37D9D24212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539419" y="10261601"/>
          <a:ext cx="1866900" cy="81544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EB1D5-25BA-E047-98D5-B24CAB7B2971}">
  <sheetPr codeName="Sheet1">
    <tabColor theme="7" tint="0.79998168889431442"/>
  </sheetPr>
  <dimension ref="A1:J30"/>
  <sheetViews>
    <sheetView zoomScale="138" workbookViewId="0">
      <selection activeCell="E9" sqref="E9"/>
    </sheetView>
  </sheetViews>
  <sheetFormatPr baseColWidth="10" defaultRowHeight="16" x14ac:dyDescent="0.2"/>
  <cols>
    <col min="1" max="1" width="16.5" customWidth="1"/>
    <col min="2" max="2" width="14" customWidth="1"/>
    <col min="3" max="3" width="14.1640625" customWidth="1"/>
    <col min="4" max="4" width="14.5" customWidth="1"/>
  </cols>
  <sheetData>
    <row r="1" spans="1:5" x14ac:dyDescent="0.2">
      <c r="A1" s="104" t="s">
        <v>121</v>
      </c>
      <c r="B1" s="105"/>
      <c r="C1" s="105"/>
      <c r="D1" s="105"/>
      <c r="E1" s="106"/>
    </row>
    <row r="2" spans="1:5" ht="17" thickBot="1" x14ac:dyDescent="0.25">
      <c r="A2" s="107"/>
      <c r="B2" s="108"/>
      <c r="C2" s="108"/>
      <c r="D2" s="108"/>
      <c r="E2" s="109"/>
    </row>
    <row r="5" spans="1:5" x14ac:dyDescent="0.2">
      <c r="A5" t="s">
        <v>0</v>
      </c>
      <c r="B5" t="s">
        <v>1</v>
      </c>
    </row>
    <row r="6" spans="1:5" x14ac:dyDescent="0.2">
      <c r="A6" s="1" t="s">
        <v>2</v>
      </c>
      <c r="C6" s="1" t="s">
        <v>3</v>
      </c>
    </row>
    <row r="7" spans="1:5" ht="17" thickBot="1" x14ac:dyDescent="0.25">
      <c r="A7" s="1"/>
      <c r="C7" s="2" t="s">
        <v>30</v>
      </c>
      <c r="D7" s="2"/>
      <c r="E7" s="2"/>
    </row>
    <row r="8" spans="1:5" x14ac:dyDescent="0.2">
      <c r="A8" s="7" t="s">
        <v>4</v>
      </c>
      <c r="B8" s="30" t="s">
        <v>5</v>
      </c>
      <c r="C8" s="9" t="s">
        <v>31</v>
      </c>
    </row>
    <row r="9" spans="1:5" x14ac:dyDescent="0.2">
      <c r="A9" s="10" t="s">
        <v>6</v>
      </c>
      <c r="B9" s="31" t="s">
        <v>7</v>
      </c>
      <c r="C9" s="11" t="s">
        <v>32</v>
      </c>
    </row>
    <row r="10" spans="1:5" x14ac:dyDescent="0.2">
      <c r="A10" s="10" t="s">
        <v>8</v>
      </c>
      <c r="B10" s="31" t="s">
        <v>9</v>
      </c>
      <c r="C10" s="11" t="s">
        <v>33</v>
      </c>
    </row>
    <row r="11" spans="1:5" x14ac:dyDescent="0.2">
      <c r="A11" s="10" t="s">
        <v>10</v>
      </c>
      <c r="B11" s="31" t="s">
        <v>11</v>
      </c>
      <c r="C11" s="11" t="s">
        <v>34</v>
      </c>
    </row>
    <row r="12" spans="1:5" ht="17" thickBot="1" x14ac:dyDescent="0.25">
      <c r="A12" s="12" t="s">
        <v>12</v>
      </c>
      <c r="B12" s="32" t="s">
        <v>13</v>
      </c>
      <c r="C12" s="13" t="s">
        <v>35</v>
      </c>
    </row>
    <row r="15" spans="1:5" x14ac:dyDescent="0.2">
      <c r="A15" s="1" t="s">
        <v>14</v>
      </c>
      <c r="B15" s="1" t="s">
        <v>15</v>
      </c>
      <c r="C15" s="1"/>
    </row>
    <row r="16" spans="1:5" x14ac:dyDescent="0.2">
      <c r="A16" s="1" t="s">
        <v>2</v>
      </c>
      <c r="C16" s="1" t="s">
        <v>3</v>
      </c>
    </row>
    <row r="17" spans="1:10" ht="17" thickBot="1" x14ac:dyDescent="0.25">
      <c r="C17" s="2" t="s">
        <v>30</v>
      </c>
      <c r="D17" s="2"/>
      <c r="E17" s="2"/>
    </row>
    <row r="18" spans="1:10" x14ac:dyDescent="0.2">
      <c r="A18" s="7" t="s">
        <v>16</v>
      </c>
      <c r="B18" s="30" t="s">
        <v>17</v>
      </c>
      <c r="C18" s="9" t="s">
        <v>36</v>
      </c>
    </row>
    <row r="19" spans="1:10" x14ac:dyDescent="0.2">
      <c r="A19" s="10" t="s">
        <v>18</v>
      </c>
      <c r="B19" s="31" t="s">
        <v>19</v>
      </c>
      <c r="C19" s="11" t="s">
        <v>37</v>
      </c>
    </row>
    <row r="20" spans="1:10" x14ac:dyDescent="0.2">
      <c r="A20" s="10" t="s">
        <v>20</v>
      </c>
      <c r="B20" s="31" t="s">
        <v>21</v>
      </c>
      <c r="C20" s="11" t="s">
        <v>38</v>
      </c>
    </row>
    <row r="21" spans="1:10" x14ac:dyDescent="0.2">
      <c r="A21" s="10" t="s">
        <v>22</v>
      </c>
      <c r="B21" s="31" t="s">
        <v>23</v>
      </c>
      <c r="C21" s="11" t="s">
        <v>39</v>
      </c>
    </row>
    <row r="22" spans="1:10" x14ac:dyDescent="0.2">
      <c r="A22" s="10" t="s">
        <v>24</v>
      </c>
      <c r="B22" s="31" t="s">
        <v>25</v>
      </c>
      <c r="C22" s="11" t="s">
        <v>40</v>
      </c>
    </row>
    <row r="23" spans="1:10" x14ac:dyDescent="0.2">
      <c r="A23" s="10" t="s">
        <v>26</v>
      </c>
      <c r="B23" s="31" t="s">
        <v>27</v>
      </c>
      <c r="C23" s="11" t="s">
        <v>41</v>
      </c>
    </row>
    <row r="24" spans="1:10" ht="17" thickBot="1" x14ac:dyDescent="0.25">
      <c r="A24" s="12" t="s">
        <v>28</v>
      </c>
      <c r="B24" s="32" t="s">
        <v>29</v>
      </c>
      <c r="C24" s="13" t="s">
        <v>42</v>
      </c>
      <c r="J24" s="81"/>
    </row>
    <row r="25" spans="1:10" ht="17" thickBot="1" x14ac:dyDescent="0.25">
      <c r="E25" t="s">
        <v>113</v>
      </c>
    </row>
    <row r="26" spans="1:10" ht="20" thickBot="1" x14ac:dyDescent="0.3">
      <c r="A26" s="86" t="s">
        <v>111</v>
      </c>
      <c r="B26" s="87"/>
      <c r="C26" s="88"/>
      <c r="D26" s="89"/>
      <c r="E26" s="80" t="s">
        <v>98</v>
      </c>
    </row>
    <row r="27" spans="1:10" ht="17" thickBot="1" x14ac:dyDescent="0.25">
      <c r="A27" s="8" t="s">
        <v>43</v>
      </c>
      <c r="B27" s="17" t="s">
        <v>4</v>
      </c>
      <c r="C27" s="18" t="s">
        <v>5</v>
      </c>
      <c r="D27" s="19" t="str">
        <f>VLOOKUP(C27,$B$8:$C$12,2,0)</f>
        <v>(0.9;0.1;0)</v>
      </c>
      <c r="E27" s="94" t="str" cm="1">
        <f t="array" ref="E27">TFNWeightCalculator(D27,$D$27:$D$29)</f>
        <v>0.406</v>
      </c>
      <c r="F27" s="25"/>
    </row>
    <row r="28" spans="1:10" ht="17" thickBot="1" x14ac:dyDescent="0.25">
      <c r="A28" s="5" t="s">
        <v>44</v>
      </c>
      <c r="B28" s="15" t="s">
        <v>6</v>
      </c>
      <c r="C28" s="16" t="s">
        <v>7</v>
      </c>
      <c r="D28" s="20" t="str">
        <f t="shared" ref="D28" si="0">VLOOKUP(C28,$B$8:$C$12,2,0)</f>
        <v>(0.75;0.2;0.05)</v>
      </c>
      <c r="E28" s="94" t="str" cm="1">
        <f t="array" ref="E28">TFNWeightCalculator(D28,$D$27:$D$29)</f>
        <v>0.356</v>
      </c>
    </row>
    <row r="29" spans="1:10" ht="17" thickBot="1" x14ac:dyDescent="0.25">
      <c r="A29" s="21" t="s">
        <v>45</v>
      </c>
      <c r="B29" s="22" t="s">
        <v>8</v>
      </c>
      <c r="C29" s="23" t="s">
        <v>9</v>
      </c>
      <c r="D29" s="24" t="str">
        <f>VLOOKUP(C29,$B$8:$C$12,2,0)</f>
        <v>(0.5;0.45;0.05)</v>
      </c>
      <c r="E29" s="94" t="str" cm="1">
        <f t="array" ref="E29">TFNWeightCalculator(D29,$D$27:$D$29)</f>
        <v>0.238</v>
      </c>
    </row>
    <row r="30" spans="1:10" x14ac:dyDescent="0.2">
      <c r="E30" s="34"/>
    </row>
  </sheetData>
  <mergeCells count="1">
    <mergeCell ref="A1:E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E0469A-C452-FD44-9BB8-C57AB7C88E6C}">
  <sheetPr codeName="Sheet2">
    <tabColor theme="8" tint="0.79998168889431442"/>
  </sheetPr>
  <dimension ref="A1:L29"/>
  <sheetViews>
    <sheetView zoomScale="125" workbookViewId="0">
      <selection sqref="A1:F1"/>
    </sheetView>
  </sheetViews>
  <sheetFormatPr baseColWidth="10" defaultRowHeight="16" x14ac:dyDescent="0.2"/>
  <cols>
    <col min="1" max="1" width="11.6640625" customWidth="1"/>
    <col min="2" max="2" width="14.83203125" customWidth="1"/>
    <col min="3" max="3" width="12.5" customWidth="1"/>
    <col min="4" max="4" width="14.33203125" customWidth="1"/>
    <col min="6" max="6" width="11.83203125" customWidth="1"/>
    <col min="7" max="9" width="14.5" customWidth="1"/>
    <col min="10" max="10" width="15.33203125" customWidth="1"/>
    <col min="11" max="11" width="10.6640625" customWidth="1"/>
    <col min="12" max="14" width="15.6640625" customWidth="1"/>
    <col min="17" max="17" width="16.33203125" customWidth="1"/>
  </cols>
  <sheetData>
    <row r="1" spans="1:12" ht="17" thickBot="1" x14ac:dyDescent="0.25">
      <c r="A1" s="86" t="s">
        <v>112</v>
      </c>
      <c r="B1" s="87"/>
      <c r="C1" s="87"/>
      <c r="D1" s="93"/>
      <c r="E1" s="93"/>
      <c r="F1" s="89"/>
    </row>
    <row r="2" spans="1:12" x14ac:dyDescent="0.2">
      <c r="A2" s="4" t="s">
        <v>46</v>
      </c>
      <c r="F2" s="35" t="s">
        <v>114</v>
      </c>
      <c r="J2" t="s">
        <v>110</v>
      </c>
    </row>
    <row r="3" spans="1:12" ht="17" thickBot="1" x14ac:dyDescent="0.25">
      <c r="A3" s="4" t="s">
        <v>47</v>
      </c>
      <c r="C3" s="4"/>
      <c r="F3" s="6" t="s">
        <v>113</v>
      </c>
      <c r="G3" s="3">
        <v>0.40600000000000003</v>
      </c>
      <c r="H3" s="3">
        <v>0.35599999999999998</v>
      </c>
      <c r="I3" s="3">
        <v>0.23799999999999999</v>
      </c>
      <c r="J3" t="str">
        <f>CONCATENATE("(",ROUND(G3,2),";",ROUND(H3,2),";",ROUND(I3,2),")")</f>
        <v>(0.41;0.36;0.24)</v>
      </c>
    </row>
    <row r="4" spans="1:12" x14ac:dyDescent="0.2">
      <c r="A4" s="26"/>
      <c r="B4" s="18" t="s">
        <v>43</v>
      </c>
      <c r="C4" s="18" t="s">
        <v>44</v>
      </c>
      <c r="D4" s="19" t="s">
        <v>45</v>
      </c>
      <c r="F4" s="26"/>
      <c r="G4" s="18" t="s">
        <v>43</v>
      </c>
      <c r="H4" s="18" t="s">
        <v>44</v>
      </c>
      <c r="I4" s="19" t="s">
        <v>45</v>
      </c>
    </row>
    <row r="5" spans="1:12" x14ac:dyDescent="0.2">
      <c r="A5" s="27" t="s">
        <v>48</v>
      </c>
      <c r="B5" s="14" t="s">
        <v>5</v>
      </c>
      <c r="C5" s="14" t="s">
        <v>7</v>
      </c>
      <c r="D5" s="20" t="s">
        <v>7</v>
      </c>
      <c r="F5" s="27" t="s">
        <v>48</v>
      </c>
      <c r="G5" s="14" t="str">
        <f>VLOOKUP(B5,'DM-Weight-Calculation'!$B$8:$C$12,2,0)</f>
        <v>(0.9;0.1;0)</v>
      </c>
      <c r="H5" s="14" t="str">
        <f>VLOOKUP(C5,'DM-Weight-Calculation'!$B$8:$C$12,2,0)</f>
        <v>(0.75;0.2;0.05)</v>
      </c>
      <c r="I5" s="20" t="str">
        <f>VLOOKUP(D5,'DM-Weight-Calculation'!$B$8:$C$12,2,0)</f>
        <v>(0.75;0.2;0.05)</v>
      </c>
    </row>
    <row r="6" spans="1:12" x14ac:dyDescent="0.2">
      <c r="A6" s="27" t="s">
        <v>49</v>
      </c>
      <c r="B6" s="14" t="s">
        <v>7</v>
      </c>
      <c r="C6" s="14" t="s">
        <v>9</v>
      </c>
      <c r="D6" s="20" t="s">
        <v>7</v>
      </c>
      <c r="F6" s="27" t="s">
        <v>49</v>
      </c>
      <c r="G6" s="14" t="str">
        <f>VLOOKUP(B6,'DM-Weight-Calculation'!$B$8:$C$12,2,0)</f>
        <v>(0.75;0.2;0.05)</v>
      </c>
      <c r="H6" s="14" t="str">
        <f>VLOOKUP(C6,'DM-Weight-Calculation'!$B$8:$C$12,2,0)</f>
        <v>(0.5;0.45;0.05)</v>
      </c>
      <c r="I6" s="20" t="str">
        <f>VLOOKUP(D6,'DM-Weight-Calculation'!$B$8:$C$12,2,0)</f>
        <v>(0.75;0.2;0.05)</v>
      </c>
    </row>
    <row r="7" spans="1:12" x14ac:dyDescent="0.2">
      <c r="A7" s="27" t="s">
        <v>50</v>
      </c>
      <c r="B7" s="14" t="s">
        <v>9</v>
      </c>
      <c r="C7" s="14" t="s">
        <v>9</v>
      </c>
      <c r="D7" s="20" t="s">
        <v>11</v>
      </c>
      <c r="F7" s="27" t="s">
        <v>50</v>
      </c>
      <c r="G7" s="14" t="str">
        <f>VLOOKUP(B7,'DM-Weight-Calculation'!$B$8:$C$12,2,0)</f>
        <v>(0.5;0.45;0.05)</v>
      </c>
      <c r="H7" s="14" t="str">
        <f>VLOOKUP(C7,'DM-Weight-Calculation'!$B$8:$C$12,2,0)</f>
        <v>(0.5;0.45;0.05)</v>
      </c>
      <c r="I7" s="20" t="str">
        <f>VLOOKUP(D7,'DM-Weight-Calculation'!$B$8:$C$12,2,0)</f>
        <v>(0.35;0.6;0.05)</v>
      </c>
    </row>
    <row r="8" spans="1:12" x14ac:dyDescent="0.2">
      <c r="A8" s="27" t="s">
        <v>51</v>
      </c>
      <c r="B8" s="14" t="s">
        <v>7</v>
      </c>
      <c r="C8" s="14" t="s">
        <v>5</v>
      </c>
      <c r="D8" s="20" t="s">
        <v>7</v>
      </c>
      <c r="F8" s="27" t="s">
        <v>51</v>
      </c>
      <c r="G8" s="14" t="str">
        <f>VLOOKUP(B8,'DM-Weight-Calculation'!$B$8:$C$12,2,0)</f>
        <v>(0.75;0.2;0.05)</v>
      </c>
      <c r="H8" s="14" t="str">
        <f>VLOOKUP(C8,'DM-Weight-Calculation'!$B$8:$C$12,2,0)</f>
        <v>(0.9;0.1;0)</v>
      </c>
      <c r="I8" s="20" t="str">
        <f>VLOOKUP(D8,'DM-Weight-Calculation'!$B$8:$C$12,2,0)</f>
        <v>(0.75;0.2;0.05)</v>
      </c>
    </row>
    <row r="9" spans="1:12" x14ac:dyDescent="0.2">
      <c r="A9" s="27" t="s">
        <v>52</v>
      </c>
      <c r="B9" s="14" t="s">
        <v>9</v>
      </c>
      <c r="C9" s="14" t="s">
        <v>11</v>
      </c>
      <c r="D9" s="20" t="s">
        <v>5</v>
      </c>
      <c r="F9" s="27" t="s">
        <v>52</v>
      </c>
      <c r="G9" s="14" t="str">
        <f>VLOOKUP(B9,'DM-Weight-Calculation'!$B$8:$C$12,2,0)</f>
        <v>(0.5;0.45;0.05)</v>
      </c>
      <c r="H9" s="14" t="str">
        <f>VLOOKUP(C9,'DM-Weight-Calculation'!$B$8:$C$12,2,0)</f>
        <v>(0.35;0.6;0.05)</v>
      </c>
      <c r="I9" s="20" t="str">
        <f>VLOOKUP(D9,'DM-Weight-Calculation'!$B$8:$C$12,2,0)</f>
        <v>(0.9;0.1;0)</v>
      </c>
    </row>
    <row r="10" spans="1:12" x14ac:dyDescent="0.2">
      <c r="A10" s="27" t="s">
        <v>53</v>
      </c>
      <c r="B10" s="14" t="s">
        <v>7</v>
      </c>
      <c r="C10" s="14" t="s">
        <v>7</v>
      </c>
      <c r="D10" s="20" t="s">
        <v>5</v>
      </c>
      <c r="F10" s="27" t="s">
        <v>53</v>
      </c>
      <c r="G10" s="14" t="str">
        <f>VLOOKUP(B10,'DM-Weight-Calculation'!$B$8:$C$12,2,0)</f>
        <v>(0.75;0.2;0.05)</v>
      </c>
      <c r="H10" s="14" t="str">
        <f>VLOOKUP(C10,'DM-Weight-Calculation'!$B$8:$C$12,2,0)</f>
        <v>(0.75;0.2;0.05)</v>
      </c>
      <c r="I10" s="20" t="str">
        <f>VLOOKUP(D10,'DM-Weight-Calculation'!$B$8:$C$12,2,0)</f>
        <v>(0.9;0.1;0)</v>
      </c>
    </row>
    <row r="11" spans="1:12" x14ac:dyDescent="0.2">
      <c r="A11" s="27" t="s">
        <v>54</v>
      </c>
      <c r="B11" s="14" t="s">
        <v>9</v>
      </c>
      <c r="C11" s="14" t="s">
        <v>7</v>
      </c>
      <c r="D11" s="20" t="s">
        <v>11</v>
      </c>
      <c r="F11" s="27" t="s">
        <v>54</v>
      </c>
      <c r="G11" s="14" t="str">
        <f>VLOOKUP(B11,'DM-Weight-Calculation'!$B$8:$C$12,2,0)</f>
        <v>(0.5;0.45;0.05)</v>
      </c>
      <c r="H11" s="14" t="str">
        <f>VLOOKUP(C11,'DM-Weight-Calculation'!$B$8:$C$12,2,0)</f>
        <v>(0.75;0.2;0.05)</v>
      </c>
      <c r="I11" s="20" t="str">
        <f>VLOOKUP(D11,'DM-Weight-Calculation'!$B$8:$C$12,2,0)</f>
        <v>(0.35;0.6;0.05)</v>
      </c>
    </row>
    <row r="12" spans="1:12" x14ac:dyDescent="0.2">
      <c r="A12" s="27" t="s">
        <v>55</v>
      </c>
      <c r="B12" s="14" t="s">
        <v>11</v>
      </c>
      <c r="C12" s="14" t="s">
        <v>11</v>
      </c>
      <c r="D12" s="20" t="s">
        <v>9</v>
      </c>
      <c r="F12" s="27" t="s">
        <v>55</v>
      </c>
      <c r="G12" s="14" t="str">
        <f>VLOOKUP(B12,'DM-Weight-Calculation'!$B$8:$C$12,2,0)</f>
        <v>(0.35;0.6;0.05)</v>
      </c>
      <c r="H12" s="14" t="str">
        <f>VLOOKUP(C12,'DM-Weight-Calculation'!$B$8:$C$12,2,0)</f>
        <v>(0.35;0.6;0.05)</v>
      </c>
      <c r="I12" s="20" t="str">
        <f>VLOOKUP(D12,'DM-Weight-Calculation'!$B$8:$C$12,2,0)</f>
        <v>(0.5;0.45;0.05)</v>
      </c>
    </row>
    <row r="13" spans="1:12" x14ac:dyDescent="0.2">
      <c r="A13" s="27" t="s">
        <v>56</v>
      </c>
      <c r="B13" s="14" t="s">
        <v>7</v>
      </c>
      <c r="C13" s="14" t="s">
        <v>5</v>
      </c>
      <c r="D13" s="20" t="s">
        <v>9</v>
      </c>
      <c r="F13" s="27" t="s">
        <v>56</v>
      </c>
      <c r="G13" s="14" t="str">
        <f>VLOOKUP(B13,'DM-Weight-Calculation'!$B$8:$C$12,2,0)</f>
        <v>(0.75;0.2;0.05)</v>
      </c>
      <c r="H13" s="14" t="str">
        <f>VLOOKUP(C13,'DM-Weight-Calculation'!$B$8:$C$12,2,0)</f>
        <v>(0.9;0.1;0)</v>
      </c>
      <c r="I13" s="20" t="str">
        <f>VLOOKUP(D13,'DM-Weight-Calculation'!$B$8:$C$12,2,0)</f>
        <v>(0.5;0.45;0.05)</v>
      </c>
    </row>
    <row r="14" spans="1:12" ht="17" thickBot="1" x14ac:dyDescent="0.25">
      <c r="A14" s="28" t="s">
        <v>57</v>
      </c>
      <c r="B14" s="29" t="s">
        <v>7</v>
      </c>
      <c r="C14" s="29" t="s">
        <v>7</v>
      </c>
      <c r="D14" s="24" t="s">
        <v>7</v>
      </c>
      <c r="F14" s="28" t="s">
        <v>57</v>
      </c>
      <c r="G14" s="29" t="str">
        <f>VLOOKUP(B14,'DM-Weight-Calculation'!$B$8:$C$12,2,0)</f>
        <v>(0.75;0.2;0.05)</v>
      </c>
      <c r="H14" s="29" t="str">
        <f>VLOOKUP(C14,'DM-Weight-Calculation'!$B$8:$C$12,2,0)</f>
        <v>(0.75;0.2;0.05)</v>
      </c>
      <c r="I14" s="24" t="str">
        <f>VLOOKUP(D14,'DM-Weight-Calculation'!$B$8:$C$12,2,0)</f>
        <v>(0.75;0.2;0.05)</v>
      </c>
    </row>
    <row r="16" spans="1:12" x14ac:dyDescent="0.2">
      <c r="L16" s="31"/>
    </row>
    <row r="17" spans="1:4" ht="17" thickBot="1" x14ac:dyDescent="0.25">
      <c r="A17" s="62" t="s">
        <v>58</v>
      </c>
      <c r="B17" s="62" t="s">
        <v>59</v>
      </c>
    </row>
    <row r="18" spans="1:4" x14ac:dyDescent="0.2">
      <c r="A18" s="8"/>
      <c r="B18" s="36" t="s">
        <v>30</v>
      </c>
    </row>
    <row r="19" spans="1:4" x14ac:dyDescent="0.2">
      <c r="A19" s="27" t="s">
        <v>48</v>
      </c>
      <c r="B19" s="77" t="str" cm="1">
        <f t="array" ref="B19">TFNCriteriaWeight_RMatrix($J$3,G5,H5,I5)</f>
        <v>(0.83;0.15;0.02)</v>
      </c>
      <c r="D19" s="81"/>
    </row>
    <row r="20" spans="1:4" x14ac:dyDescent="0.2">
      <c r="A20" s="27" t="s">
        <v>49</v>
      </c>
      <c r="B20" s="77" t="str" cm="1">
        <f t="array" ref="B20">TFNCriteriaWeight_RMatrix($J$3,G6,H6,I6)</f>
        <v>(0.68;0.26;0.05)</v>
      </c>
    </row>
    <row r="21" spans="1:4" x14ac:dyDescent="0.2">
      <c r="A21" s="27" t="s">
        <v>50</v>
      </c>
      <c r="B21" s="77" t="str" cm="1">
        <f t="array" ref="B21">TFNCriteriaWeight_RMatrix($J$3,G7,H7,I7)</f>
        <v>(0.47;0.48;0.05)</v>
      </c>
    </row>
    <row r="22" spans="1:4" x14ac:dyDescent="0.2">
      <c r="A22" s="27" t="s">
        <v>51</v>
      </c>
      <c r="B22" s="77" t="str" cm="1">
        <f t="array" ref="B22">TFNCriteriaWeight_RMatrix($J$3,G8,H8,I8)</f>
        <v>(0.82;0.15;0.02)</v>
      </c>
    </row>
    <row r="23" spans="1:4" x14ac:dyDescent="0.2">
      <c r="A23" s="27" t="s">
        <v>52</v>
      </c>
      <c r="B23" s="77" t="str" cm="1">
        <f t="array" ref="B23">TFNCriteriaWeight_RMatrix($J$3,G9,H9,I9)</f>
        <v>(0.63;0.35;0.03)</v>
      </c>
    </row>
    <row r="24" spans="1:4" x14ac:dyDescent="0.2">
      <c r="A24" s="27" t="s">
        <v>53</v>
      </c>
      <c r="B24" s="77" t="str" cm="1">
        <f t="array" ref="B24">TFNCriteriaWeight_RMatrix($J$3,G10,H10,I10)</f>
        <v>(0.8;0.17;0.03)</v>
      </c>
    </row>
    <row r="25" spans="1:4" x14ac:dyDescent="0.2">
      <c r="A25" s="27" t="s">
        <v>54</v>
      </c>
      <c r="B25" s="77" t="str" cm="1">
        <f t="array" ref="B25">TFNCriteriaWeight_RMatrix($J$3,G11,H11,I11)</f>
        <v>(0.59;0.36;0.05)</v>
      </c>
    </row>
    <row r="26" spans="1:4" x14ac:dyDescent="0.2">
      <c r="A26" s="27" t="s">
        <v>55</v>
      </c>
      <c r="B26" s="77" t="str" cm="1">
        <f t="array" ref="B26">TFNCriteriaWeight_RMatrix($J$3,G12,H12,I12)</f>
        <v>(0.39;0.56;0.05)</v>
      </c>
    </row>
    <row r="27" spans="1:4" x14ac:dyDescent="0.2">
      <c r="A27" s="27" t="s">
        <v>56</v>
      </c>
      <c r="B27" s="77" t="str" cm="1">
        <f t="array" ref="B27">TFNCriteriaWeight_RMatrix($J$3,G13,H13,I13)</f>
        <v>(0.79;0.19;0.02)</v>
      </c>
    </row>
    <row r="28" spans="1:4" ht="17" thickBot="1" x14ac:dyDescent="0.25">
      <c r="A28" s="28" t="s">
        <v>57</v>
      </c>
      <c r="B28" s="77" t="str" cm="1">
        <f t="array" ref="B28">TFNCriteriaWeight_RMatrix($J$3,G14,H14,I14)</f>
        <v>(0.75;0.2;0.05)</v>
      </c>
    </row>
    <row r="29" spans="1:4" x14ac:dyDescent="0.2">
      <c r="B29" s="38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4584D-88B2-4B45-A3E6-E20B9235DF2A}">
  <sheetPr codeName="Sheet3">
    <tabColor theme="5" tint="0.79998168889431442"/>
  </sheetPr>
  <dimension ref="A1:Q40"/>
  <sheetViews>
    <sheetView workbookViewId="0">
      <selection sqref="A1:E1"/>
    </sheetView>
  </sheetViews>
  <sheetFormatPr baseColWidth="10" defaultRowHeight="16" x14ac:dyDescent="0.2"/>
  <cols>
    <col min="3" max="12" width="14.1640625" customWidth="1"/>
    <col min="14" max="14" width="12" customWidth="1"/>
    <col min="15" max="16" width="13.5" customWidth="1"/>
    <col min="18" max="18" width="15" customWidth="1"/>
  </cols>
  <sheetData>
    <row r="1" spans="1:17" ht="17" thickBot="1" x14ac:dyDescent="0.25">
      <c r="A1" s="86" t="s">
        <v>115</v>
      </c>
      <c r="B1" s="87"/>
      <c r="C1" s="87"/>
      <c r="D1" s="93"/>
      <c r="E1" s="89"/>
    </row>
    <row r="2" spans="1:17" ht="20" thickBot="1" x14ac:dyDescent="0.3">
      <c r="A2" s="33" t="s">
        <v>64</v>
      </c>
      <c r="B2" s="33" t="s">
        <v>65</v>
      </c>
      <c r="C2" s="33"/>
    </row>
    <row r="3" spans="1:17" ht="17" thickBot="1" x14ac:dyDescent="0.25">
      <c r="A3" s="39"/>
      <c r="B3" s="40"/>
      <c r="C3" s="41" t="s">
        <v>48</v>
      </c>
      <c r="D3" s="41" t="s">
        <v>49</v>
      </c>
      <c r="E3" s="41" t="s">
        <v>50</v>
      </c>
      <c r="F3" s="41" t="s">
        <v>51</v>
      </c>
      <c r="G3" s="41" t="s">
        <v>52</v>
      </c>
      <c r="H3" s="41" t="s">
        <v>53</v>
      </c>
      <c r="I3" s="41" t="s">
        <v>54</v>
      </c>
      <c r="J3" s="41" t="s">
        <v>55</v>
      </c>
      <c r="K3" s="41" t="s">
        <v>56</v>
      </c>
      <c r="L3" s="42" t="s">
        <v>57</v>
      </c>
      <c r="N3" s="6" t="s">
        <v>113</v>
      </c>
      <c r="O3" s="3">
        <v>0.40600000000000003</v>
      </c>
      <c r="P3" s="3">
        <v>0.35599999999999998</v>
      </c>
      <c r="Q3" s="3">
        <v>0.23799999999999999</v>
      </c>
    </row>
    <row r="4" spans="1:17" ht="20" thickBot="1" x14ac:dyDescent="0.3">
      <c r="A4" s="56" t="s">
        <v>43</v>
      </c>
      <c r="B4" s="43" t="s">
        <v>60</v>
      </c>
      <c r="C4" s="44" t="s">
        <v>19</v>
      </c>
      <c r="D4" s="18" t="s">
        <v>19</v>
      </c>
      <c r="E4" s="18" t="s">
        <v>21</v>
      </c>
      <c r="F4" s="18" t="s">
        <v>21</v>
      </c>
      <c r="G4" s="18" t="s">
        <v>23</v>
      </c>
      <c r="H4" s="18" t="s">
        <v>21</v>
      </c>
      <c r="I4" s="18" t="s">
        <v>23</v>
      </c>
      <c r="J4" s="18" t="s">
        <v>17</v>
      </c>
      <c r="K4" s="18" t="s">
        <v>21</v>
      </c>
      <c r="L4" s="19" t="s">
        <v>19</v>
      </c>
      <c r="N4" s="79" t="s">
        <v>98</v>
      </c>
      <c r="O4" t="str">
        <f>CONCATENATE("(",ROUND(O3,2),";",ROUND(P3,2),";",ROUND(Q3,2),")")</f>
        <v>(0.41;0.36;0.24)</v>
      </c>
      <c r="P4" t="s">
        <v>110</v>
      </c>
    </row>
    <row r="5" spans="1:17" x14ac:dyDescent="0.2">
      <c r="A5" s="57"/>
      <c r="B5" s="45" t="s">
        <v>61</v>
      </c>
      <c r="C5" s="46" t="s">
        <v>19</v>
      </c>
      <c r="D5" s="14" t="s">
        <v>17</v>
      </c>
      <c r="E5" s="14" t="s">
        <v>19</v>
      </c>
      <c r="F5" s="14" t="s">
        <v>19</v>
      </c>
      <c r="G5" s="14" t="s">
        <v>19</v>
      </c>
      <c r="H5" s="14" t="s">
        <v>19</v>
      </c>
      <c r="I5" s="14" t="s">
        <v>21</v>
      </c>
      <c r="J5" s="14" t="s">
        <v>19</v>
      </c>
      <c r="K5" s="14" t="s">
        <v>19</v>
      </c>
      <c r="L5" s="20" t="s">
        <v>17</v>
      </c>
    </row>
    <row r="6" spans="1:17" x14ac:dyDescent="0.2">
      <c r="A6" s="57"/>
      <c r="B6" s="45" t="s">
        <v>62</v>
      </c>
      <c r="C6" s="46" t="s">
        <v>21</v>
      </c>
      <c r="D6" s="14" t="s">
        <v>21</v>
      </c>
      <c r="E6" s="14" t="s">
        <v>21</v>
      </c>
      <c r="F6" s="14" t="s">
        <v>23</v>
      </c>
      <c r="G6" s="14" t="s">
        <v>25</v>
      </c>
      <c r="H6" s="14" t="s">
        <v>27</v>
      </c>
      <c r="I6" s="14" t="s">
        <v>27</v>
      </c>
      <c r="J6" s="14" t="s">
        <v>19</v>
      </c>
      <c r="K6" s="14" t="s">
        <v>29</v>
      </c>
      <c r="L6" s="20" t="s">
        <v>19</v>
      </c>
    </row>
    <row r="7" spans="1:17" ht="17" thickBot="1" x14ac:dyDescent="0.25">
      <c r="A7" s="58"/>
      <c r="B7" s="47" t="s">
        <v>63</v>
      </c>
      <c r="C7" s="48" t="s">
        <v>17</v>
      </c>
      <c r="D7" s="29" t="s">
        <v>19</v>
      </c>
      <c r="E7" s="29" t="s">
        <v>19</v>
      </c>
      <c r="F7" s="29" t="s">
        <v>17</v>
      </c>
      <c r="G7" s="29" t="s">
        <v>19</v>
      </c>
      <c r="H7" s="29" t="s">
        <v>17</v>
      </c>
      <c r="I7" s="29" t="s">
        <v>19</v>
      </c>
      <c r="J7" s="29" t="s">
        <v>17</v>
      </c>
      <c r="K7" s="29" t="s">
        <v>17</v>
      </c>
      <c r="L7" s="24" t="s">
        <v>17</v>
      </c>
    </row>
    <row r="8" spans="1:17" x14ac:dyDescent="0.2">
      <c r="A8" s="59" t="s">
        <v>44</v>
      </c>
      <c r="B8" s="49" t="s">
        <v>60</v>
      </c>
      <c r="C8" s="50" t="s">
        <v>21</v>
      </c>
      <c r="D8" s="51" t="s">
        <v>19</v>
      </c>
      <c r="E8" s="51" t="s">
        <v>19</v>
      </c>
      <c r="F8" s="51" t="s">
        <v>23</v>
      </c>
      <c r="G8" s="51" t="s">
        <v>21</v>
      </c>
      <c r="H8" s="51" t="s">
        <v>19</v>
      </c>
      <c r="I8" s="51" t="s">
        <v>21</v>
      </c>
      <c r="J8" s="51" t="s">
        <v>19</v>
      </c>
      <c r="K8" s="51" t="s">
        <v>23</v>
      </c>
      <c r="L8" s="52" t="s">
        <v>19</v>
      </c>
    </row>
    <row r="9" spans="1:17" x14ac:dyDescent="0.2">
      <c r="A9" s="57"/>
      <c r="B9" s="45" t="s">
        <v>61</v>
      </c>
      <c r="C9" s="46" t="s">
        <v>17</v>
      </c>
      <c r="D9" s="14" t="s">
        <v>19</v>
      </c>
      <c r="E9" s="14" t="s">
        <v>19</v>
      </c>
      <c r="F9" s="14" t="s">
        <v>17</v>
      </c>
      <c r="G9" s="14" t="s">
        <v>19</v>
      </c>
      <c r="H9" s="14" t="s">
        <v>19</v>
      </c>
      <c r="I9" s="14" t="s">
        <v>19</v>
      </c>
      <c r="J9" s="14" t="s">
        <v>17</v>
      </c>
      <c r="K9" s="14" t="s">
        <v>21</v>
      </c>
      <c r="L9" s="20" t="s">
        <v>19</v>
      </c>
    </row>
    <row r="10" spans="1:17" x14ac:dyDescent="0.2">
      <c r="A10" s="57"/>
      <c r="B10" s="45" t="s">
        <v>62</v>
      </c>
      <c r="C10" s="46" t="s">
        <v>19</v>
      </c>
      <c r="D10" s="14" t="s">
        <v>21</v>
      </c>
      <c r="E10" s="14" t="s">
        <v>23</v>
      </c>
      <c r="F10" s="14" t="s">
        <v>27</v>
      </c>
      <c r="G10" s="14" t="s">
        <v>25</v>
      </c>
      <c r="H10" s="14" t="s">
        <v>23</v>
      </c>
      <c r="I10" s="14" t="s">
        <v>23</v>
      </c>
      <c r="J10" s="14" t="s">
        <v>19</v>
      </c>
      <c r="K10" s="14" t="s">
        <v>23</v>
      </c>
      <c r="L10" s="20" t="s">
        <v>19</v>
      </c>
    </row>
    <row r="11" spans="1:17" ht="17" thickBot="1" x14ac:dyDescent="0.25">
      <c r="A11" s="60"/>
      <c r="B11" s="53" t="s">
        <v>63</v>
      </c>
      <c r="C11" s="54" t="s">
        <v>17</v>
      </c>
      <c r="D11" s="55" t="s">
        <v>17</v>
      </c>
      <c r="E11" s="55" t="s">
        <v>19</v>
      </c>
      <c r="F11" s="55" t="s">
        <v>17</v>
      </c>
      <c r="G11" s="55" t="s">
        <v>17</v>
      </c>
      <c r="H11" s="55" t="s">
        <v>19</v>
      </c>
      <c r="I11" s="55" t="s">
        <v>19</v>
      </c>
      <c r="J11" s="55" t="s">
        <v>21</v>
      </c>
      <c r="K11" s="55" t="s">
        <v>19</v>
      </c>
      <c r="L11" s="37" t="s">
        <v>17</v>
      </c>
    </row>
    <row r="12" spans="1:17" x14ac:dyDescent="0.2">
      <c r="A12" s="56" t="s">
        <v>45</v>
      </c>
      <c r="B12" s="43" t="s">
        <v>60</v>
      </c>
      <c r="C12" s="44" t="s">
        <v>21</v>
      </c>
      <c r="D12" s="18" t="s">
        <v>19</v>
      </c>
      <c r="E12" s="18" t="s">
        <v>19</v>
      </c>
      <c r="F12" s="18" t="s">
        <v>21</v>
      </c>
      <c r="G12" s="18" t="s">
        <v>21</v>
      </c>
      <c r="H12" s="18" t="s">
        <v>23</v>
      </c>
      <c r="I12" s="18" t="s">
        <v>23</v>
      </c>
      <c r="J12" s="18" t="s">
        <v>17</v>
      </c>
      <c r="K12" s="18" t="s">
        <v>19</v>
      </c>
      <c r="L12" s="19" t="s">
        <v>17</v>
      </c>
    </row>
    <row r="13" spans="1:17" x14ac:dyDescent="0.2">
      <c r="A13" s="57"/>
      <c r="B13" s="45" t="s">
        <v>61</v>
      </c>
      <c r="C13" s="46" t="s">
        <v>19</v>
      </c>
      <c r="D13" s="14" t="s">
        <v>17</v>
      </c>
      <c r="E13" s="14" t="s">
        <v>19</v>
      </c>
      <c r="F13" s="14" t="s">
        <v>19</v>
      </c>
      <c r="G13" s="14" t="s">
        <v>17</v>
      </c>
      <c r="H13" s="14" t="s">
        <v>19</v>
      </c>
      <c r="I13" s="14" t="s">
        <v>19</v>
      </c>
      <c r="J13" s="14" t="s">
        <v>21</v>
      </c>
      <c r="K13" s="14" t="s">
        <v>19</v>
      </c>
      <c r="L13" s="20" t="s">
        <v>17</v>
      </c>
    </row>
    <row r="14" spans="1:17" x14ac:dyDescent="0.2">
      <c r="A14" s="57"/>
      <c r="B14" s="45" t="s">
        <v>62</v>
      </c>
      <c r="C14" s="46" t="s">
        <v>21</v>
      </c>
      <c r="D14" s="14" t="s">
        <v>21</v>
      </c>
      <c r="E14" s="14" t="s">
        <v>25</v>
      </c>
      <c r="F14" s="14" t="s">
        <v>23</v>
      </c>
      <c r="G14" s="14" t="s">
        <v>27</v>
      </c>
      <c r="H14" s="14" t="s">
        <v>25</v>
      </c>
      <c r="I14" s="14" t="s">
        <v>21</v>
      </c>
      <c r="J14" s="14" t="s">
        <v>17</v>
      </c>
      <c r="K14" s="14" t="s">
        <v>23</v>
      </c>
      <c r="L14" s="20" t="s">
        <v>19</v>
      </c>
    </row>
    <row r="15" spans="1:17" ht="17" thickBot="1" x14ac:dyDescent="0.25">
      <c r="A15" s="58"/>
      <c r="B15" s="47" t="s">
        <v>63</v>
      </c>
      <c r="C15" s="48" t="s">
        <v>17</v>
      </c>
      <c r="D15" s="29" t="s">
        <v>17</v>
      </c>
      <c r="E15" s="29" t="s">
        <v>21</v>
      </c>
      <c r="F15" s="29" t="s">
        <v>19</v>
      </c>
      <c r="G15" s="29" t="s">
        <v>17</v>
      </c>
      <c r="H15" s="29" t="s">
        <v>19</v>
      </c>
      <c r="I15" s="29" t="s">
        <v>17</v>
      </c>
      <c r="J15" s="29" t="s">
        <v>19</v>
      </c>
      <c r="K15" s="29" t="s">
        <v>17</v>
      </c>
      <c r="L15" s="24" t="s">
        <v>17</v>
      </c>
    </row>
    <row r="17" spans="1:12" ht="20" thickBot="1" x14ac:dyDescent="0.3">
      <c r="A17" s="70" t="s">
        <v>116</v>
      </c>
      <c r="B17" s="61"/>
      <c r="D17" s="2" t="s">
        <v>30</v>
      </c>
    </row>
    <row r="18" spans="1:12" ht="17" thickBot="1" x14ac:dyDescent="0.25">
      <c r="A18" s="39"/>
      <c r="B18" s="40"/>
      <c r="C18" s="41" t="s">
        <v>48</v>
      </c>
      <c r="D18" s="41" t="s">
        <v>49</v>
      </c>
      <c r="E18" s="41" t="s">
        <v>50</v>
      </c>
      <c r="F18" s="41" t="s">
        <v>51</v>
      </c>
      <c r="G18" s="41" t="s">
        <v>52</v>
      </c>
      <c r="H18" s="41" t="s">
        <v>53</v>
      </c>
      <c r="I18" s="41" t="s">
        <v>54</v>
      </c>
      <c r="J18" s="41" t="s">
        <v>55</v>
      </c>
      <c r="K18" s="41" t="s">
        <v>56</v>
      </c>
      <c r="L18" s="42" t="s">
        <v>57</v>
      </c>
    </row>
    <row r="19" spans="1:12" x14ac:dyDescent="0.2">
      <c r="A19" s="56" t="s">
        <v>43</v>
      </c>
      <c r="B19" s="43" t="s">
        <v>60</v>
      </c>
      <c r="C19" s="44" t="str">
        <f>VLOOKUP(C4,'DM-Weight-Calculation'!$B$18:$C$24,2,0)</f>
        <v>(0.85;0.05;0.1)</v>
      </c>
      <c r="D19" s="18" t="str">
        <f>VLOOKUP(D4,'DM-Weight-Calculation'!$B$18:$C$24,2,0)</f>
        <v>(0.85;0.05;0.1)</v>
      </c>
      <c r="E19" s="18" t="str">
        <f>VLOOKUP(E4,'DM-Weight-Calculation'!$B$18:$C$24,2,0)</f>
        <v>(0.7;0.2;0.1)</v>
      </c>
      <c r="F19" s="18" t="str">
        <f>VLOOKUP(F4,'DM-Weight-Calculation'!$B$18:$C$24,2,0)</f>
        <v>(0.7;0.2;0.1)</v>
      </c>
      <c r="G19" s="18" t="str">
        <f>VLOOKUP(G4,'DM-Weight-Calculation'!$B$18:$C$24,2,0)</f>
        <v>(0.5;0.5;0)</v>
      </c>
      <c r="H19" s="18" t="str">
        <f>VLOOKUP(H4,'DM-Weight-Calculation'!$B$18:$C$24,2,0)</f>
        <v>(0.7;0.2;0.1)</v>
      </c>
      <c r="I19" s="18" t="str">
        <f>VLOOKUP(I4,'DM-Weight-Calculation'!$B$18:$C$24,2,0)</f>
        <v>(0.5;0.5;0)</v>
      </c>
      <c r="J19" s="18" t="str">
        <f>VLOOKUP(J4,'DM-Weight-Calculation'!$B$18:$C$24,2,0)</f>
        <v>(1;0;0)</v>
      </c>
      <c r="K19" s="18" t="str">
        <f>VLOOKUP(K4,'DM-Weight-Calculation'!$B$18:$C$24,2,0)</f>
        <v>(0.7;0.2;0.1)</v>
      </c>
      <c r="L19" s="19" t="str">
        <f>VLOOKUP(L4,'DM-Weight-Calculation'!$B$18:$C$24,2,0)</f>
        <v>(0.85;0.05;0.1)</v>
      </c>
    </row>
    <row r="20" spans="1:12" x14ac:dyDescent="0.2">
      <c r="A20" s="57"/>
      <c r="B20" s="45" t="s">
        <v>61</v>
      </c>
      <c r="C20" s="46" t="str">
        <f>VLOOKUP(C5,'DM-Weight-Calculation'!$B$18:$C$24,2,0)</f>
        <v>(0.85;0.05;0.1)</v>
      </c>
      <c r="D20" s="14" t="str">
        <f>VLOOKUP(D5,'DM-Weight-Calculation'!$B$18:$C$24,2,0)</f>
        <v>(1;0;0)</v>
      </c>
      <c r="E20" s="14" t="str">
        <f>VLOOKUP(E5,'DM-Weight-Calculation'!$B$18:$C$24,2,0)</f>
        <v>(0.85;0.05;0.1)</v>
      </c>
      <c r="F20" s="14" t="str">
        <f>VLOOKUP(F5,'DM-Weight-Calculation'!$B$18:$C$24,2,0)</f>
        <v>(0.85;0.05;0.1)</v>
      </c>
      <c r="G20" s="14" t="str">
        <f>VLOOKUP(G5,'DM-Weight-Calculation'!$B$18:$C$24,2,0)</f>
        <v>(0.85;0.05;0.1)</v>
      </c>
      <c r="H20" s="14" t="str">
        <f>VLOOKUP(H5,'DM-Weight-Calculation'!$B$18:$C$24,2,0)</f>
        <v>(0.85;0.05;0.1)</v>
      </c>
      <c r="I20" s="14" t="str">
        <f>VLOOKUP(I5,'DM-Weight-Calculation'!$B$18:$C$24,2,0)</f>
        <v>(0.7;0.2;0.1)</v>
      </c>
      <c r="J20" s="14" t="str">
        <f>VLOOKUP(J5,'DM-Weight-Calculation'!$B$18:$C$24,2,0)</f>
        <v>(0.85;0.05;0.1)</v>
      </c>
      <c r="K20" s="14" t="str">
        <f>VLOOKUP(K5,'DM-Weight-Calculation'!$B$18:$C$24,2,0)</f>
        <v>(0.85;0.05;0.1)</v>
      </c>
      <c r="L20" s="20" t="str">
        <f>VLOOKUP(L5,'DM-Weight-Calculation'!$B$18:$C$24,2,0)</f>
        <v>(1;0;0)</v>
      </c>
    </row>
    <row r="21" spans="1:12" x14ac:dyDescent="0.2">
      <c r="A21" s="57"/>
      <c r="B21" s="45" t="s">
        <v>62</v>
      </c>
      <c r="C21" s="46" t="str">
        <f>VLOOKUP(C6,'DM-Weight-Calculation'!$B$18:$C$24,2,0)</f>
        <v>(0.7;0.2;0.1)</v>
      </c>
      <c r="D21" s="14" t="str">
        <f>VLOOKUP(D6,'DM-Weight-Calculation'!$B$18:$C$24,2,0)</f>
        <v>(0.7;0.2;0.1)</v>
      </c>
      <c r="E21" s="14" t="str">
        <f>VLOOKUP(E6,'DM-Weight-Calculation'!$B$18:$C$24,2,0)</f>
        <v>(0.7;0.2;0.1)</v>
      </c>
      <c r="F21" s="14" t="str">
        <f>VLOOKUP(F6,'DM-Weight-Calculation'!$B$18:$C$24,2,0)</f>
        <v>(0.5;0.5;0)</v>
      </c>
      <c r="G21" s="14" t="str">
        <f>VLOOKUP(G6,'DM-Weight-Calculation'!$B$18:$C$24,2,0)</f>
        <v>(0.4;0.5;0.1)</v>
      </c>
      <c r="H21" s="14" t="str">
        <f>VLOOKUP(H6,'DM-Weight-Calculation'!$B$18:$C$24,2,0)</f>
        <v>(0.25;0.6;0.15)</v>
      </c>
      <c r="I21" s="14" t="str">
        <f>VLOOKUP(I6,'DM-Weight-Calculation'!$B$18:$C$24,2,0)</f>
        <v>(0.25;0.6;0.15)</v>
      </c>
      <c r="J21" s="14" t="str">
        <f>VLOOKUP(J6,'DM-Weight-Calculation'!$B$18:$C$24,2,0)</f>
        <v>(0.85;0.05;0.1)</v>
      </c>
      <c r="K21" s="14" t="str">
        <f>VLOOKUP(K6,'DM-Weight-Calculation'!$B$18:$C$24,2,0)</f>
        <v>(0;0.9;0.1)</v>
      </c>
      <c r="L21" s="20" t="str">
        <f>VLOOKUP(L6,'DM-Weight-Calculation'!$B$18:$C$24,2,0)</f>
        <v>(0.85;0.05;0.1)</v>
      </c>
    </row>
    <row r="22" spans="1:12" ht="17" thickBot="1" x14ac:dyDescent="0.25">
      <c r="A22" s="58"/>
      <c r="B22" s="47" t="s">
        <v>63</v>
      </c>
      <c r="C22" s="48" t="str">
        <f>VLOOKUP(C7,'DM-Weight-Calculation'!$B$18:$C$24,2,0)</f>
        <v>(1;0;0)</v>
      </c>
      <c r="D22" s="29" t="str">
        <f>VLOOKUP(D7,'DM-Weight-Calculation'!$B$18:$C$24,2,0)</f>
        <v>(0.85;0.05;0.1)</v>
      </c>
      <c r="E22" s="29" t="str">
        <f>VLOOKUP(E7,'DM-Weight-Calculation'!$B$18:$C$24,2,0)</f>
        <v>(0.85;0.05;0.1)</v>
      </c>
      <c r="F22" s="29" t="str">
        <f>VLOOKUP(F7,'DM-Weight-Calculation'!$B$18:$C$24,2,0)</f>
        <v>(1;0;0)</v>
      </c>
      <c r="G22" s="29" t="str">
        <f>VLOOKUP(G7,'DM-Weight-Calculation'!$B$18:$C$24,2,0)</f>
        <v>(0.85;0.05;0.1)</v>
      </c>
      <c r="H22" s="29" t="str">
        <f>VLOOKUP(H7,'DM-Weight-Calculation'!$B$18:$C$24,2,0)</f>
        <v>(1;0;0)</v>
      </c>
      <c r="I22" s="29" t="str">
        <f>VLOOKUP(I7,'DM-Weight-Calculation'!$B$18:$C$24,2,0)</f>
        <v>(0.85;0.05;0.1)</v>
      </c>
      <c r="J22" s="29" t="str">
        <f>VLOOKUP(J7,'DM-Weight-Calculation'!$B$18:$C$24,2,0)</f>
        <v>(1;0;0)</v>
      </c>
      <c r="K22" s="29" t="str">
        <f>VLOOKUP(K7,'DM-Weight-Calculation'!$B$18:$C$24,2,0)</f>
        <v>(1;0;0)</v>
      </c>
      <c r="L22" s="24" t="str">
        <f>VLOOKUP(L7,'DM-Weight-Calculation'!$B$18:$C$24,2,0)</f>
        <v>(1;0;0)</v>
      </c>
    </row>
    <row r="23" spans="1:12" x14ac:dyDescent="0.2">
      <c r="A23" s="56" t="s">
        <v>44</v>
      </c>
      <c r="B23" s="43" t="s">
        <v>60</v>
      </c>
      <c r="C23" s="44" t="str">
        <f>VLOOKUP(C8,'DM-Weight-Calculation'!$B$18:$C$24,2,0)</f>
        <v>(0.7;0.2;0.1)</v>
      </c>
      <c r="D23" s="18" t="str">
        <f>VLOOKUP(D8,'DM-Weight-Calculation'!$B$18:$C$24,2,0)</f>
        <v>(0.85;0.05;0.1)</v>
      </c>
      <c r="E23" s="18" t="str">
        <f>VLOOKUP(E8,'DM-Weight-Calculation'!$B$18:$C$24,2,0)</f>
        <v>(0.85;0.05;0.1)</v>
      </c>
      <c r="F23" s="18" t="str">
        <f>VLOOKUP(F8,'DM-Weight-Calculation'!$B$18:$C$24,2,0)</f>
        <v>(0.5;0.5;0)</v>
      </c>
      <c r="G23" s="18" t="str">
        <f>VLOOKUP(G8,'DM-Weight-Calculation'!$B$18:$C$24,2,0)</f>
        <v>(0.7;0.2;0.1)</v>
      </c>
      <c r="H23" s="18" t="str">
        <f>VLOOKUP(H8,'DM-Weight-Calculation'!$B$18:$C$24,2,0)</f>
        <v>(0.85;0.05;0.1)</v>
      </c>
      <c r="I23" s="18" t="str">
        <f>VLOOKUP(I8,'DM-Weight-Calculation'!$B$18:$C$24,2,0)</f>
        <v>(0.7;0.2;0.1)</v>
      </c>
      <c r="J23" s="18" t="str">
        <f>VLOOKUP(J8,'DM-Weight-Calculation'!$B$18:$C$24,2,0)</f>
        <v>(0.85;0.05;0.1)</v>
      </c>
      <c r="K23" s="18" t="str">
        <f>VLOOKUP(K8,'DM-Weight-Calculation'!$B$18:$C$24,2,0)</f>
        <v>(0.5;0.5;0)</v>
      </c>
      <c r="L23" s="19" t="str">
        <f>VLOOKUP(L8,'DM-Weight-Calculation'!$B$18:$C$24,2,0)</f>
        <v>(0.85;0.05;0.1)</v>
      </c>
    </row>
    <row r="24" spans="1:12" x14ac:dyDescent="0.2">
      <c r="A24" s="57"/>
      <c r="B24" s="45" t="s">
        <v>61</v>
      </c>
      <c r="C24" s="46" t="str">
        <f>VLOOKUP(C9,'DM-Weight-Calculation'!$B$18:$C$24,2,0)</f>
        <v>(1;0;0)</v>
      </c>
      <c r="D24" s="14" t="str">
        <f>VLOOKUP(D9,'DM-Weight-Calculation'!$B$18:$C$24,2,0)</f>
        <v>(0.85;0.05;0.1)</v>
      </c>
      <c r="E24" s="14" t="str">
        <f>VLOOKUP(E9,'DM-Weight-Calculation'!$B$18:$C$24,2,0)</f>
        <v>(0.85;0.05;0.1)</v>
      </c>
      <c r="F24" s="14" t="str">
        <f>VLOOKUP(F9,'DM-Weight-Calculation'!$B$18:$C$24,2,0)</f>
        <v>(1;0;0)</v>
      </c>
      <c r="G24" s="14" t="str">
        <f>VLOOKUP(G9,'DM-Weight-Calculation'!$B$18:$C$24,2,0)</f>
        <v>(0.85;0.05;0.1)</v>
      </c>
      <c r="H24" s="14" t="str">
        <f>VLOOKUP(H9,'DM-Weight-Calculation'!$B$18:$C$24,2,0)</f>
        <v>(0.85;0.05;0.1)</v>
      </c>
      <c r="I24" s="14" t="str">
        <f>VLOOKUP(I9,'DM-Weight-Calculation'!$B$18:$C$24,2,0)</f>
        <v>(0.85;0.05;0.1)</v>
      </c>
      <c r="J24" s="14" t="str">
        <f>VLOOKUP(J9,'DM-Weight-Calculation'!$B$18:$C$24,2,0)</f>
        <v>(1;0;0)</v>
      </c>
      <c r="K24" s="14" t="str">
        <f>VLOOKUP(K9,'DM-Weight-Calculation'!$B$18:$C$24,2,0)</f>
        <v>(0.7;0.2;0.1)</v>
      </c>
      <c r="L24" s="20" t="str">
        <f>VLOOKUP(L9,'DM-Weight-Calculation'!$B$18:$C$24,2,0)</f>
        <v>(0.85;0.05;0.1)</v>
      </c>
    </row>
    <row r="25" spans="1:12" x14ac:dyDescent="0.2">
      <c r="A25" s="57"/>
      <c r="B25" s="45" t="s">
        <v>62</v>
      </c>
      <c r="C25" s="46" t="str">
        <f>VLOOKUP(C10,'DM-Weight-Calculation'!$B$18:$C$24,2,0)</f>
        <v>(0.85;0.05;0.1)</v>
      </c>
      <c r="D25" s="14" t="str">
        <f>VLOOKUP(D10,'DM-Weight-Calculation'!$B$18:$C$24,2,0)</f>
        <v>(0.7;0.2;0.1)</v>
      </c>
      <c r="E25" s="14" t="str">
        <f>VLOOKUP(E10,'DM-Weight-Calculation'!$B$18:$C$24,2,0)</f>
        <v>(0.5;0.5;0)</v>
      </c>
      <c r="F25" s="14" t="str">
        <f>VLOOKUP(F10,'DM-Weight-Calculation'!$B$18:$C$24,2,0)</f>
        <v>(0.25;0.6;0.15)</v>
      </c>
      <c r="G25" s="14" t="str">
        <f>VLOOKUP(G10,'DM-Weight-Calculation'!$B$18:$C$24,2,0)</f>
        <v>(0.4;0.5;0.1)</v>
      </c>
      <c r="H25" s="14" t="str">
        <f>VLOOKUP(H10,'DM-Weight-Calculation'!$B$18:$C$24,2,0)</f>
        <v>(0.5;0.5;0)</v>
      </c>
      <c r="I25" s="14" t="str">
        <f>VLOOKUP(I10,'DM-Weight-Calculation'!$B$18:$C$24,2,0)</f>
        <v>(0.5;0.5;0)</v>
      </c>
      <c r="J25" s="14" t="str">
        <f>VLOOKUP(J10,'DM-Weight-Calculation'!$B$18:$C$24,2,0)</f>
        <v>(0.85;0.05;0.1)</v>
      </c>
      <c r="K25" s="14" t="str">
        <f>VLOOKUP(K10,'DM-Weight-Calculation'!$B$18:$C$24,2,0)</f>
        <v>(0.5;0.5;0)</v>
      </c>
      <c r="L25" s="20" t="str">
        <f>VLOOKUP(L10,'DM-Weight-Calculation'!$B$18:$C$24,2,0)</f>
        <v>(0.85;0.05;0.1)</v>
      </c>
    </row>
    <row r="26" spans="1:12" ht="17" thickBot="1" x14ac:dyDescent="0.25">
      <c r="A26" s="58"/>
      <c r="B26" s="47" t="s">
        <v>63</v>
      </c>
      <c r="C26" s="48" t="str">
        <f>VLOOKUP(C11,'DM-Weight-Calculation'!$B$18:$C$24,2,0)</f>
        <v>(1;0;0)</v>
      </c>
      <c r="D26" s="29" t="str">
        <f>VLOOKUP(D11,'DM-Weight-Calculation'!$B$18:$C$24,2,0)</f>
        <v>(1;0;0)</v>
      </c>
      <c r="E26" s="29" t="str">
        <f>VLOOKUP(E11,'DM-Weight-Calculation'!$B$18:$C$24,2,0)</f>
        <v>(0.85;0.05;0.1)</v>
      </c>
      <c r="F26" s="29" t="str">
        <f>VLOOKUP(F11,'DM-Weight-Calculation'!$B$18:$C$24,2,0)</f>
        <v>(1;0;0)</v>
      </c>
      <c r="G26" s="29" t="str">
        <f>VLOOKUP(G11,'DM-Weight-Calculation'!$B$18:$C$24,2,0)</f>
        <v>(1;0;0)</v>
      </c>
      <c r="H26" s="29" t="str">
        <f>VLOOKUP(H11,'DM-Weight-Calculation'!$B$18:$C$24,2,0)</f>
        <v>(0.85;0.05;0.1)</v>
      </c>
      <c r="I26" s="29" t="str">
        <f>VLOOKUP(I11,'DM-Weight-Calculation'!$B$18:$C$24,2,0)</f>
        <v>(0.85;0.05;0.1)</v>
      </c>
      <c r="J26" s="29" t="str">
        <f>VLOOKUP(J11,'DM-Weight-Calculation'!$B$18:$C$24,2,0)</f>
        <v>(0.7;0.2;0.1)</v>
      </c>
      <c r="K26" s="29" t="str">
        <f>VLOOKUP(K11,'DM-Weight-Calculation'!$B$18:$C$24,2,0)</f>
        <v>(0.85;0.05;0.1)</v>
      </c>
      <c r="L26" s="24" t="str">
        <f>VLOOKUP(L11,'DM-Weight-Calculation'!$B$18:$C$24,2,0)</f>
        <v>(1;0;0)</v>
      </c>
    </row>
    <row r="27" spans="1:12" x14ac:dyDescent="0.2">
      <c r="A27" s="56" t="s">
        <v>45</v>
      </c>
      <c r="B27" s="43" t="s">
        <v>60</v>
      </c>
      <c r="C27" s="44" t="str">
        <f>VLOOKUP(C12,'DM-Weight-Calculation'!$B$18:$C$24,2,0)</f>
        <v>(0.7;0.2;0.1)</v>
      </c>
      <c r="D27" s="18" t="str">
        <f>VLOOKUP(D12,'DM-Weight-Calculation'!$B$18:$C$24,2,0)</f>
        <v>(0.85;0.05;0.1)</v>
      </c>
      <c r="E27" s="18" t="str">
        <f>VLOOKUP(E12,'DM-Weight-Calculation'!$B$18:$C$24,2,0)</f>
        <v>(0.85;0.05;0.1)</v>
      </c>
      <c r="F27" s="18" t="str">
        <f>VLOOKUP(F12,'DM-Weight-Calculation'!$B$18:$C$24,2,0)</f>
        <v>(0.7;0.2;0.1)</v>
      </c>
      <c r="G27" s="18" t="str">
        <f>VLOOKUP(G12,'DM-Weight-Calculation'!$B$18:$C$24,2,0)</f>
        <v>(0.7;0.2;0.1)</v>
      </c>
      <c r="H27" s="18" t="str">
        <f>VLOOKUP(H12,'DM-Weight-Calculation'!$B$18:$C$24,2,0)</f>
        <v>(0.5;0.5;0)</v>
      </c>
      <c r="I27" s="18" t="str">
        <f>VLOOKUP(I12,'DM-Weight-Calculation'!$B$18:$C$24,2,0)</f>
        <v>(0.5;0.5;0)</v>
      </c>
      <c r="J27" s="18" t="str">
        <f>VLOOKUP(J12,'DM-Weight-Calculation'!$B$18:$C$24,2,0)</f>
        <v>(1;0;0)</v>
      </c>
      <c r="K27" s="18" t="str">
        <f>VLOOKUP(K12,'DM-Weight-Calculation'!$B$18:$C$24,2,0)</f>
        <v>(0.85;0.05;0.1)</v>
      </c>
      <c r="L27" s="19" t="str">
        <f>VLOOKUP(L12,'DM-Weight-Calculation'!$B$18:$C$24,2,0)</f>
        <v>(1;0;0)</v>
      </c>
    </row>
    <row r="28" spans="1:12" x14ac:dyDescent="0.2">
      <c r="A28" s="57"/>
      <c r="B28" s="45" t="s">
        <v>61</v>
      </c>
      <c r="C28" s="46" t="str">
        <f>VLOOKUP(C13,'DM-Weight-Calculation'!$B$18:$C$24,2,0)</f>
        <v>(0.85;0.05;0.1)</v>
      </c>
      <c r="D28" s="14" t="str">
        <f>VLOOKUP(D13,'DM-Weight-Calculation'!$B$18:$C$24,2,0)</f>
        <v>(1;0;0)</v>
      </c>
      <c r="E28" s="14" t="str">
        <f>VLOOKUP(E13,'DM-Weight-Calculation'!$B$18:$C$24,2,0)</f>
        <v>(0.85;0.05;0.1)</v>
      </c>
      <c r="F28" s="14" t="str">
        <f>VLOOKUP(F13,'DM-Weight-Calculation'!$B$18:$C$24,2,0)</f>
        <v>(0.85;0.05;0.1)</v>
      </c>
      <c r="G28" s="14" t="str">
        <f>VLOOKUP(G13,'DM-Weight-Calculation'!$B$18:$C$24,2,0)</f>
        <v>(1;0;0)</v>
      </c>
      <c r="H28" s="14" t="str">
        <f>VLOOKUP(H13,'DM-Weight-Calculation'!$B$18:$C$24,2,0)</f>
        <v>(0.85;0.05;0.1)</v>
      </c>
      <c r="I28" s="14" t="str">
        <f>VLOOKUP(I13,'DM-Weight-Calculation'!$B$18:$C$24,2,0)</f>
        <v>(0.85;0.05;0.1)</v>
      </c>
      <c r="J28" s="14" t="str">
        <f>VLOOKUP(J13,'DM-Weight-Calculation'!$B$18:$C$24,2,0)</f>
        <v>(0.7;0.2;0.1)</v>
      </c>
      <c r="K28" s="14" t="str">
        <f>VLOOKUP(K13,'DM-Weight-Calculation'!$B$18:$C$24,2,0)</f>
        <v>(0.85;0.05;0.1)</v>
      </c>
      <c r="L28" s="20" t="str">
        <f>VLOOKUP(L13,'DM-Weight-Calculation'!$B$18:$C$24,2,0)</f>
        <v>(1;0;0)</v>
      </c>
    </row>
    <row r="29" spans="1:12" x14ac:dyDescent="0.2">
      <c r="A29" s="57"/>
      <c r="B29" s="45" t="s">
        <v>62</v>
      </c>
      <c r="C29" s="46" t="str">
        <f>VLOOKUP(C14,'DM-Weight-Calculation'!$B$18:$C$24,2,0)</f>
        <v>(0.7;0.2;0.1)</v>
      </c>
      <c r="D29" s="14" t="str">
        <f>VLOOKUP(D14,'DM-Weight-Calculation'!$B$18:$C$24,2,0)</f>
        <v>(0.7;0.2;0.1)</v>
      </c>
      <c r="E29" s="14" t="str">
        <f>VLOOKUP(E14,'DM-Weight-Calculation'!$B$18:$C$24,2,0)</f>
        <v>(0.4;0.5;0.1)</v>
      </c>
      <c r="F29" s="14" t="str">
        <f>VLOOKUP(F14,'DM-Weight-Calculation'!$B$18:$C$24,2,0)</f>
        <v>(0.5;0.5;0)</v>
      </c>
      <c r="G29" s="14" t="str">
        <f>VLOOKUP(G14,'DM-Weight-Calculation'!$B$18:$C$24,2,0)</f>
        <v>(0.25;0.6;0.15)</v>
      </c>
      <c r="H29" s="14" t="str">
        <f>VLOOKUP(H14,'DM-Weight-Calculation'!$B$18:$C$24,2,0)</f>
        <v>(0.4;0.5;0.1)</v>
      </c>
      <c r="I29" s="14" t="str">
        <f>VLOOKUP(I14,'DM-Weight-Calculation'!$B$18:$C$24,2,0)</f>
        <v>(0.7;0.2;0.1)</v>
      </c>
      <c r="J29" s="14" t="str">
        <f>VLOOKUP(J14,'DM-Weight-Calculation'!$B$18:$C$24,2,0)</f>
        <v>(1;0;0)</v>
      </c>
      <c r="K29" s="14" t="str">
        <f>VLOOKUP(K14,'DM-Weight-Calculation'!$B$18:$C$24,2,0)</f>
        <v>(0.5;0.5;0)</v>
      </c>
      <c r="L29" s="20" t="str">
        <f>VLOOKUP(L14,'DM-Weight-Calculation'!$B$18:$C$24,2,0)</f>
        <v>(0.85;0.05;0.1)</v>
      </c>
    </row>
    <row r="30" spans="1:12" ht="17" thickBot="1" x14ac:dyDescent="0.25">
      <c r="A30" s="58"/>
      <c r="B30" s="47" t="s">
        <v>63</v>
      </c>
      <c r="C30" s="48" t="str">
        <f>VLOOKUP(C15,'DM-Weight-Calculation'!$B$18:$C$24,2,0)</f>
        <v>(1;0;0)</v>
      </c>
      <c r="D30" s="29" t="str">
        <f>VLOOKUP(D15,'DM-Weight-Calculation'!$B$18:$C$24,2,0)</f>
        <v>(1;0;0)</v>
      </c>
      <c r="E30" s="29" t="str">
        <f>VLOOKUP(E15,'DM-Weight-Calculation'!$B$18:$C$24,2,0)</f>
        <v>(0.7;0.2;0.1)</v>
      </c>
      <c r="F30" s="29" t="str">
        <f>VLOOKUP(F15,'DM-Weight-Calculation'!$B$18:$C$24,2,0)</f>
        <v>(0.85;0.05;0.1)</v>
      </c>
      <c r="G30" s="29" t="str">
        <f>VLOOKUP(G15,'DM-Weight-Calculation'!$B$18:$C$24,2,0)</f>
        <v>(1;0;0)</v>
      </c>
      <c r="H30" s="29" t="str">
        <f>VLOOKUP(H15,'DM-Weight-Calculation'!$B$18:$C$24,2,0)</f>
        <v>(0.85;0.05;0.1)</v>
      </c>
      <c r="I30" s="29" t="str">
        <f>VLOOKUP(I15,'DM-Weight-Calculation'!$B$18:$C$24,2,0)</f>
        <v>(1;0;0)</v>
      </c>
      <c r="J30" s="29" t="str">
        <f>VLOOKUP(J15,'DM-Weight-Calculation'!$B$18:$C$24,2,0)</f>
        <v>(0.85;0.05;0.1)</v>
      </c>
      <c r="K30" s="29" t="str">
        <f>VLOOKUP(K15,'DM-Weight-Calculation'!$B$18:$C$24,2,0)</f>
        <v>(1;0;0)</v>
      </c>
      <c r="L30" s="24" t="str">
        <f>VLOOKUP(L15,'DM-Weight-Calculation'!$B$18:$C$24,2,0)</f>
        <v>(1;0;0)</v>
      </c>
    </row>
    <row r="32" spans="1:12" ht="20" thickBot="1" x14ac:dyDescent="0.3">
      <c r="B32" s="33" t="s">
        <v>66</v>
      </c>
      <c r="C32" s="71" t="s">
        <v>67</v>
      </c>
      <c r="D32" s="2" t="s">
        <v>30</v>
      </c>
    </row>
    <row r="33" spans="2:12" ht="17" thickBot="1" x14ac:dyDescent="0.25">
      <c r="C33" s="63" t="s">
        <v>48</v>
      </c>
      <c r="D33" s="64" t="s">
        <v>49</v>
      </c>
      <c r="E33" s="64" t="s">
        <v>50</v>
      </c>
      <c r="F33" s="64" t="s">
        <v>51</v>
      </c>
      <c r="G33" s="64" t="s">
        <v>52</v>
      </c>
      <c r="H33" s="64" t="s">
        <v>53</v>
      </c>
      <c r="I33" s="64" t="s">
        <v>54</v>
      </c>
      <c r="J33" s="64" t="s">
        <v>55</v>
      </c>
      <c r="K33" s="64" t="s">
        <v>56</v>
      </c>
      <c r="L33" s="65" t="s">
        <v>57</v>
      </c>
    </row>
    <row r="34" spans="2:12" ht="17" thickBot="1" x14ac:dyDescent="0.25">
      <c r="B34" s="66" t="s">
        <v>60</v>
      </c>
      <c r="C34" s="26" t="str" cm="1">
        <f t="array" ref="C34">TFNCriteriaWeight_RMatrix($O$4,C19,C23,C27)</f>
        <v>(0.78;0.11;0.11)</v>
      </c>
      <c r="D34" s="26" t="str" cm="1">
        <f t="array" ref="D34">TFNCriteriaWeight_RMatrix($O$4,D19,D23,D27)</f>
        <v>(0.85;0.05;0.1)</v>
      </c>
      <c r="E34" s="26" t="str" cm="1">
        <f t="array" ref="E34">TFNCriteriaWeight_RMatrix($O$4,E19,E23,E27)</f>
        <v>(0.8;0.09;0.11)</v>
      </c>
      <c r="F34" s="26" t="str" cm="1">
        <f t="array" ref="F34">TFNCriteriaWeight_RMatrix($O$4,F19,F23,F27)</f>
        <v>(0.64;0.27;0.08)</v>
      </c>
      <c r="G34" s="26" t="str" cm="1">
        <f t="array" ref="G34">TFNCriteriaWeight_RMatrix($O$4,G19,G23,G27)</f>
        <v>(0.63;0.29;0.08)</v>
      </c>
      <c r="H34" s="26" t="str" cm="1">
        <f t="array" ref="H34">TFNCriteriaWeight_RMatrix($O$4,H19,H23,H27)</f>
        <v>(0.74;0.15;0.11)</v>
      </c>
      <c r="I34" s="26" t="str" cm="1">
        <f t="array" ref="I34">TFNCriteriaWeight_RMatrix($O$4,I19,I23,I27)</f>
        <v>(0.59;0.36;0.06)</v>
      </c>
      <c r="J34" s="26" t="str" cm="1">
        <f t="array" ref="J34">TFNCriteriaWeight_RMatrix($O$4,J19,J23,J27)</f>
        <v>(1;0;0)</v>
      </c>
      <c r="K34" s="26" t="str" cm="1">
        <f t="array" ref="K34">TFNCriteriaWeight_RMatrix($O$4,K19,K23,K27)</f>
        <v>(0.7;0.2;0.11)</v>
      </c>
      <c r="L34" s="26" t="str" cm="1">
        <f t="array" ref="L34">TFNCriteriaWeight_RMatrix($O$4,L19,L23,L27)</f>
        <v>(1;0;0)</v>
      </c>
    </row>
    <row r="35" spans="2:12" ht="17" thickBot="1" x14ac:dyDescent="0.25">
      <c r="B35" s="67" t="s">
        <v>61</v>
      </c>
      <c r="C35" s="26" t="str" cm="1">
        <f t="array" ref="C35">TFNCriteriaWeight_RMatrix($O$4,C20,C24,C28)</f>
        <v>(1;0;0)</v>
      </c>
      <c r="D35" s="26" t="str" cm="1">
        <f t="array" ref="D35">TFNCriteriaWeight_RMatrix($O$4,D20,D24,D28)</f>
        <v>(1;0;0)</v>
      </c>
      <c r="E35" s="26" t="str" cm="1">
        <f t="array" ref="E35">TFNCriteriaWeight_RMatrix($O$4,E20,E24,E28)</f>
        <v>(0.85;0.05;0.1)</v>
      </c>
      <c r="F35" s="26" t="str" cm="1">
        <f t="array" ref="F35">TFNCriteriaWeight_RMatrix($O$4,F20,F24,F28)</f>
        <v>(1;0;0)</v>
      </c>
      <c r="G35" s="26" t="str" cm="1">
        <f t="array" ref="G35">TFNCriteriaWeight_RMatrix($O$4,G20,G24,G28)</f>
        <v>(1;0;0)</v>
      </c>
      <c r="H35" s="26" t="str" cm="1">
        <f t="array" ref="H35">TFNCriteriaWeight_RMatrix($O$4,H20,H24,H28)</f>
        <v>(0.85;0.05;0.1)</v>
      </c>
      <c r="I35" s="26" t="str" cm="1">
        <f t="array" ref="I35">TFNCriteriaWeight_RMatrix($O$4,I20,I24,I28)</f>
        <v>(0.8;0.09;0.11)</v>
      </c>
      <c r="J35" s="26" t="str" cm="1">
        <f t="array" ref="J35">TFNCriteriaWeight_RMatrix($O$4,J20,J24,J28)</f>
        <v>(1;0;0)</v>
      </c>
      <c r="K35" s="26" t="str" cm="1">
        <f t="array" ref="K35">TFNCriteriaWeight_RMatrix($O$4,K20,K24,K28)</f>
        <v>(0.81;0.08;0.11)</v>
      </c>
      <c r="L35" s="26" t="str" cm="1">
        <f t="array" ref="L35">TFNCriteriaWeight_RMatrix($O$4,L20,L24,L28)</f>
        <v>(1;0;0)</v>
      </c>
    </row>
    <row r="36" spans="2:12" ht="17" thickBot="1" x14ac:dyDescent="0.25">
      <c r="B36" s="67" t="s">
        <v>62</v>
      </c>
      <c r="C36" s="26" t="str" cm="1">
        <f t="array" ref="C36">TFNCriteriaWeight_RMatrix($O$4,C21,C25,C29)</f>
        <v>(0.77;0.12;0.11)</v>
      </c>
      <c r="D36" s="26" t="str" cm="1">
        <f t="array" ref="D36">TFNCriteriaWeight_RMatrix($O$4,D21,D25,D29)</f>
        <v>(0.7;0.2;0.1)</v>
      </c>
      <c r="E36" s="26" t="str" cm="1">
        <f t="array" ref="E36">TFNCriteriaWeight_RMatrix($O$4,E21,E25,E29)</f>
        <v>(0.58;0.34;0.08)</v>
      </c>
      <c r="F36" s="26" t="str" cm="1">
        <f t="array" ref="F36">TFNCriteriaWeight_RMatrix($O$4,F21,F25,F29)</f>
        <v>(0.43;0.53;0.04)</v>
      </c>
      <c r="G36" s="26" t="str" cm="1">
        <f t="array" ref="G36">TFNCriteriaWeight_RMatrix($O$4,G21,G25,G29)</f>
        <v>(0.37;0.52;0.11)</v>
      </c>
      <c r="H36" s="26" t="str" cm="1">
        <f t="array" ref="H36">TFNCriteriaWeight_RMatrix($O$4,H21,H25,H29)</f>
        <v>(0.39;0.54;0.08)</v>
      </c>
      <c r="I36" s="26" t="str" cm="1">
        <f t="array" ref="I36">TFNCriteriaWeight_RMatrix($O$4,I21,I25,I29)</f>
        <v>(0.48;0.43;0.09)</v>
      </c>
      <c r="J36" s="26" t="str" cm="1">
        <f t="array" ref="J36">TFNCriteriaWeight_RMatrix($O$4,J21,J25,J29)</f>
        <v>(1;0;0)</v>
      </c>
      <c r="K36" s="26" t="str" cm="1">
        <f t="array" ref="K36">TFNCriteriaWeight_RMatrix($O$4,K21,K25,K29)</f>
        <v>(0.34;0.63;0.03)</v>
      </c>
      <c r="L36" s="26" t="str" cm="1">
        <f t="array" ref="L36">TFNCriteriaWeight_RMatrix($O$4,L21,L25,L29)</f>
        <v>(0.85;0.05;0.1)</v>
      </c>
    </row>
    <row r="37" spans="2:12" ht="17" thickBot="1" x14ac:dyDescent="0.25">
      <c r="B37" s="68" t="s">
        <v>63</v>
      </c>
      <c r="C37" s="26" t="str" cm="1">
        <f t="array" ref="C37">TFNCriteriaWeight_RMatrix($O$4,C22,C26,C30)</f>
        <v>(1;0;0)</v>
      </c>
      <c r="D37" s="26" t="str" cm="1">
        <f t="array" ref="D37">TFNCriteriaWeight_RMatrix($O$4,D22,D26,D30)</f>
        <v>(1;0;0)</v>
      </c>
      <c r="E37" s="26" t="str" cm="1">
        <f t="array" ref="E37">TFNCriteriaWeight_RMatrix($O$4,E22,E26,E30)</f>
        <v>(0.83;0.07;0.11)</v>
      </c>
      <c r="F37" s="26" t="str" cm="1">
        <f t="array" ref="F37">TFNCriteriaWeight_RMatrix($O$4,F22,F26,F30)</f>
        <v>(1;0;0)</v>
      </c>
      <c r="G37" s="26" t="str" cm="1">
        <f t="array" ref="G37">TFNCriteriaWeight_RMatrix($O$4,G22,G26,G30)</f>
        <v>(1;0;0)</v>
      </c>
      <c r="H37" s="26" t="str" cm="1">
        <f t="array" ref="H37">TFNCriteriaWeight_RMatrix($O$4,H22,H26,H30)</f>
        <v>(1;0;0)</v>
      </c>
      <c r="I37" s="26" t="str" cm="1">
        <f t="array" ref="I37">TFNCriteriaWeight_RMatrix($O$4,I22,I26,I30)</f>
        <v>(1;0;0)</v>
      </c>
      <c r="J37" s="26" t="str" cm="1">
        <f t="array" ref="J37">TFNCriteriaWeight_RMatrix($O$4,J22,J26,J30)</f>
        <v>(1;0;0)</v>
      </c>
      <c r="K37" s="26" t="str" cm="1">
        <f t="array" ref="K37">TFNCriteriaWeight_RMatrix($O$4,K22,K26,K30)</f>
        <v>(1;0;0)</v>
      </c>
      <c r="L37" s="26" t="str" cm="1">
        <f t="array" ref="L37">TFNCriteriaWeight_RMatrix($O$4,L22,L26,L30)</f>
        <v>(1;0;0)</v>
      </c>
    </row>
    <row r="38" spans="2:12" x14ac:dyDescent="0.2">
      <c r="C38" s="25"/>
    </row>
    <row r="40" spans="2:12" x14ac:dyDescent="0.2">
      <c r="B40" s="81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E4EDED-5C10-C84A-8EC4-62761EE79369}">
  <sheetPr codeName="Sheet4">
    <tabColor theme="9" tint="0.79998168889431442"/>
  </sheetPr>
  <dimension ref="A1:M54"/>
  <sheetViews>
    <sheetView tabSelected="1" topLeftCell="A22" workbookViewId="0">
      <selection activeCell="G57" sqref="G57"/>
    </sheetView>
  </sheetViews>
  <sheetFormatPr baseColWidth="10" defaultRowHeight="16" x14ac:dyDescent="0.2"/>
  <cols>
    <col min="2" max="11" width="14.83203125" customWidth="1"/>
  </cols>
  <sheetData>
    <row r="1" spans="1:13" ht="20" thickBot="1" x14ac:dyDescent="0.3">
      <c r="A1" s="90" t="s">
        <v>117</v>
      </c>
      <c r="B1" s="91"/>
      <c r="C1" s="88"/>
    </row>
    <row r="2" spans="1:13" ht="20" thickBot="1" x14ac:dyDescent="0.3">
      <c r="A2" s="33" t="s">
        <v>66</v>
      </c>
      <c r="B2" s="71" t="s">
        <v>67</v>
      </c>
    </row>
    <row r="3" spans="1:13" ht="17" thickBot="1" x14ac:dyDescent="0.25">
      <c r="B3" s="63" t="s">
        <v>48</v>
      </c>
      <c r="C3" s="64" t="s">
        <v>49</v>
      </c>
      <c r="D3" s="64" t="s">
        <v>50</v>
      </c>
      <c r="E3" s="64" t="s">
        <v>51</v>
      </c>
      <c r="F3" s="64" t="s">
        <v>52</v>
      </c>
      <c r="G3" s="64" t="s">
        <v>53</v>
      </c>
      <c r="H3" s="64" t="s">
        <v>54</v>
      </c>
      <c r="I3" s="64" t="s">
        <v>55</v>
      </c>
      <c r="J3" s="64" t="s">
        <v>56</v>
      </c>
      <c r="K3" s="65" t="s">
        <v>57</v>
      </c>
      <c r="M3" s="81"/>
    </row>
    <row r="4" spans="1:13" x14ac:dyDescent="0.2">
      <c r="A4" s="66" t="s">
        <v>60</v>
      </c>
      <c r="B4" s="26" t="s">
        <v>68</v>
      </c>
      <c r="C4" s="18" t="s">
        <v>37</v>
      </c>
      <c r="D4" s="18" t="s">
        <v>69</v>
      </c>
      <c r="E4" s="18" t="s">
        <v>70</v>
      </c>
      <c r="F4" s="18" t="s">
        <v>71</v>
      </c>
      <c r="G4" s="18" t="s">
        <v>72</v>
      </c>
      <c r="H4" s="18" t="s">
        <v>73</v>
      </c>
      <c r="I4" s="18" t="s">
        <v>36</v>
      </c>
      <c r="J4" s="18" t="s">
        <v>74</v>
      </c>
      <c r="K4" s="19" t="s">
        <v>36</v>
      </c>
    </row>
    <row r="5" spans="1:13" x14ac:dyDescent="0.2">
      <c r="A5" s="67" t="s">
        <v>61</v>
      </c>
      <c r="B5" s="27" t="s">
        <v>36</v>
      </c>
      <c r="C5" s="14" t="s">
        <v>36</v>
      </c>
      <c r="D5" s="14" t="s">
        <v>37</v>
      </c>
      <c r="E5" s="14" t="s">
        <v>36</v>
      </c>
      <c r="F5" s="14" t="s">
        <v>36</v>
      </c>
      <c r="G5" s="14" t="s">
        <v>37</v>
      </c>
      <c r="H5" s="14" t="s">
        <v>69</v>
      </c>
      <c r="I5" s="14" t="s">
        <v>36</v>
      </c>
      <c r="J5" s="14" t="s">
        <v>75</v>
      </c>
      <c r="K5" s="20" t="s">
        <v>36</v>
      </c>
    </row>
    <row r="6" spans="1:13" x14ac:dyDescent="0.2">
      <c r="A6" s="67" t="s">
        <v>62</v>
      </c>
      <c r="B6" s="27" t="s">
        <v>76</v>
      </c>
      <c r="C6" s="14" t="s">
        <v>38</v>
      </c>
      <c r="D6" s="14" t="s">
        <v>77</v>
      </c>
      <c r="E6" s="14" t="s">
        <v>78</v>
      </c>
      <c r="F6" s="14" t="s">
        <v>79</v>
      </c>
      <c r="G6" s="14" t="s">
        <v>80</v>
      </c>
      <c r="H6" s="14" t="s">
        <v>81</v>
      </c>
      <c r="I6" s="14" t="s">
        <v>36</v>
      </c>
      <c r="J6" s="14" t="s">
        <v>82</v>
      </c>
      <c r="K6" s="20" t="s">
        <v>37</v>
      </c>
    </row>
    <row r="7" spans="1:13" ht="17" thickBot="1" x14ac:dyDescent="0.25">
      <c r="A7" s="68" t="s">
        <v>63</v>
      </c>
      <c r="B7" s="28" t="s">
        <v>36</v>
      </c>
      <c r="C7" s="29" t="s">
        <v>36</v>
      </c>
      <c r="D7" s="29" t="s">
        <v>83</v>
      </c>
      <c r="E7" s="29" t="s">
        <v>36</v>
      </c>
      <c r="F7" s="29" t="s">
        <v>36</v>
      </c>
      <c r="G7" s="29" t="s">
        <v>36</v>
      </c>
      <c r="H7" s="29" t="s">
        <v>36</v>
      </c>
      <c r="I7" s="29" t="s">
        <v>36</v>
      </c>
      <c r="J7" s="29" t="s">
        <v>36</v>
      </c>
      <c r="K7" s="24" t="s">
        <v>36</v>
      </c>
    </row>
    <row r="9" spans="1:13" ht="17" thickBot="1" x14ac:dyDescent="0.25">
      <c r="A9" s="62" t="s">
        <v>58</v>
      </c>
      <c r="B9" s="62" t="s">
        <v>59</v>
      </c>
    </row>
    <row r="10" spans="1:13" x14ac:dyDescent="0.2">
      <c r="B10" s="26" t="s">
        <v>48</v>
      </c>
      <c r="C10" s="26" t="s">
        <v>49</v>
      </c>
      <c r="D10" s="26" t="s">
        <v>50</v>
      </c>
      <c r="E10" s="26" t="s">
        <v>51</v>
      </c>
      <c r="F10" s="26" t="s">
        <v>52</v>
      </c>
      <c r="G10" s="26" t="s">
        <v>53</v>
      </c>
      <c r="H10" s="26" t="s">
        <v>54</v>
      </c>
      <c r="I10" s="26" t="s">
        <v>55</v>
      </c>
      <c r="J10" s="74" t="s">
        <v>56</v>
      </c>
      <c r="K10" s="75" t="s">
        <v>57</v>
      </c>
      <c r="M10" s="81"/>
    </row>
    <row r="11" spans="1:13" ht="17" thickBot="1" x14ac:dyDescent="0.25">
      <c r="B11" s="73" t="s">
        <v>99</v>
      </c>
      <c r="C11" s="73" t="s">
        <v>100</v>
      </c>
      <c r="D11" s="73" t="s">
        <v>101</v>
      </c>
      <c r="E11" s="73" t="s">
        <v>102</v>
      </c>
      <c r="F11" s="73" t="s">
        <v>103</v>
      </c>
      <c r="G11" s="73" t="s">
        <v>84</v>
      </c>
      <c r="H11" s="73" t="s">
        <v>104</v>
      </c>
      <c r="I11" s="73" t="s">
        <v>105</v>
      </c>
      <c r="J11" s="73" t="s">
        <v>106</v>
      </c>
      <c r="K11" s="73" t="s">
        <v>32</v>
      </c>
    </row>
    <row r="12" spans="1:13" x14ac:dyDescent="0.2">
      <c r="B12" s="76"/>
      <c r="C12" s="76"/>
      <c r="D12" s="76"/>
      <c r="E12" s="76"/>
      <c r="F12" s="76"/>
      <c r="G12" s="76"/>
      <c r="H12" s="76"/>
      <c r="I12" s="76"/>
      <c r="J12" s="76"/>
      <c r="K12" s="76"/>
    </row>
    <row r="13" spans="1:13" ht="17" thickBot="1" x14ac:dyDescent="0.25">
      <c r="A13" s="72" t="s">
        <v>85</v>
      </c>
      <c r="B13" s="35" t="s">
        <v>86</v>
      </c>
    </row>
    <row r="14" spans="1:13" ht="17" thickBot="1" x14ac:dyDescent="0.25">
      <c r="B14" s="83" t="s">
        <v>48</v>
      </c>
      <c r="C14" s="83" t="s">
        <v>49</v>
      </c>
      <c r="D14" s="83" t="s">
        <v>50</v>
      </c>
      <c r="E14" s="83" t="s">
        <v>51</v>
      </c>
      <c r="F14" s="83" t="s">
        <v>52</v>
      </c>
      <c r="G14" s="83" t="s">
        <v>53</v>
      </c>
      <c r="H14" s="82" t="s">
        <v>54</v>
      </c>
      <c r="I14" s="83" t="s">
        <v>55</v>
      </c>
      <c r="J14" s="84" t="s">
        <v>56</v>
      </c>
      <c r="K14" s="85" t="s">
        <v>57</v>
      </c>
    </row>
    <row r="15" spans="1:13" x14ac:dyDescent="0.2">
      <c r="A15" s="66" t="s">
        <v>60</v>
      </c>
      <c r="B15" s="26" t="str" cm="1">
        <f t="array" ref="B15">TFNSMatrix(B$11,B4)</f>
        <v>(0.65;0.24;0.11)</v>
      </c>
      <c r="C15" s="18" t="str" cm="1">
        <f t="array" ref="C15">TFNSMatrix(C$11,C4)</f>
        <v>(0.58;0.3;0.12)</v>
      </c>
      <c r="D15" s="18" t="str" cm="1">
        <f t="array" ref="D15">TFNSMatrix(D$11,D4)</f>
        <v>(0.38;0.53;0.1)</v>
      </c>
      <c r="E15" s="18" t="str" cm="1">
        <f t="array" ref="E15">TFNSMatrix(E$11,E4)</f>
        <v>(0.52;0.38;0.1)</v>
      </c>
      <c r="F15" s="18" t="str" cm="1">
        <f t="array" ref="F15">TFNSMatrix(F$11,F4)</f>
        <v>(0.4;0.54;0.06)</v>
      </c>
      <c r="G15" s="18" t="str" cm="1">
        <f t="array" ref="G15">TFNSMatrix(G$11,G4)</f>
        <v>(0.59;0.29;0.11)</v>
      </c>
      <c r="H15" s="18" t="str" cm="1">
        <f t="array" ref="H15">TFNSMatrix(H$11,H4)</f>
        <v>(0.35;0.59;0.06)</v>
      </c>
      <c r="I15" s="18" t="str" cm="1">
        <f t="array" ref="I15">TFNSMatrix(I$11,I4)</f>
        <v>(0.39;0.56;0.05)</v>
      </c>
      <c r="J15" s="18" t="str" cm="1">
        <f t="array" ref="J15">TFNSMatrix(J$11,J4)</f>
        <v>(0.55;0.35;0.1)</v>
      </c>
      <c r="K15" s="19" t="str" cm="1">
        <f t="array" ref="K15">TFNSMatrix(K$11,K4)</f>
        <v>(0.75;0.2;0.05)</v>
      </c>
      <c r="M15" s="81"/>
    </row>
    <row r="16" spans="1:13" x14ac:dyDescent="0.2">
      <c r="A16" s="67" t="s">
        <v>61</v>
      </c>
      <c r="B16" s="27" t="str" cm="1">
        <f t="array" ref="B16">TFNSMatrix(B$11,B5)</f>
        <v>(0.83;0.15;0.02)</v>
      </c>
      <c r="C16" s="14" t="str" cm="1">
        <f t="array" ref="C16">TFNSMatrix(C$11,C5)</f>
        <v>(0.68;0.26;0.06)</v>
      </c>
      <c r="D16" s="14" t="str" cm="1">
        <f t="array" ref="D16">TFNSMatrix(D$11,D5)</f>
        <v>(0.4;0.51;0.09)</v>
      </c>
      <c r="E16" s="14" t="str" cm="1">
        <f t="array" ref="E16">TFNSMatrix(E$11,E5)</f>
        <v>(0.82;0.15;0.03)</v>
      </c>
      <c r="F16" s="14" t="str" cm="1">
        <f t="array" ref="F16">TFNSMatrix(F$11,F5)</f>
        <v>(0.63;0.35;0.02)</v>
      </c>
      <c r="G16" s="14" t="str" cm="1">
        <f t="array" ref="G16">TFNSMatrix(G$11,G5)</f>
        <v>(0.68;0.21;0.11)</v>
      </c>
      <c r="H16" s="14" t="str" cm="1">
        <f t="array" ref="H16">TFNSMatrix(H$11,H5)</f>
        <v>(0.47;0.42;0.11)</v>
      </c>
      <c r="I16" s="14" t="str" cm="1">
        <f t="array" ref="I16">TFNSMatrix(I$11,I5)</f>
        <v>(0.39;0.56;0.05)</v>
      </c>
      <c r="J16" s="14" t="str" cm="1">
        <f t="array" ref="J16">TFNSMatrix(J$11,J5)</f>
        <v>(0.64;0.25;0.11)</v>
      </c>
      <c r="K16" s="20" t="str" cm="1">
        <f t="array" ref="K16">TFNSMatrix(K$11,K5)</f>
        <v>(0.75;0.2;0.05)</v>
      </c>
    </row>
    <row r="17" spans="1:11" x14ac:dyDescent="0.2">
      <c r="A17" s="67" t="s">
        <v>62</v>
      </c>
      <c r="B17" s="27" t="str" cm="1">
        <f t="array" ref="B17">TFNSMatrix(B$11,B6)</f>
        <v>(0.64;0.25;0.11)</v>
      </c>
      <c r="C17" s="14" t="str" cm="1">
        <f t="array" ref="C17">TFNSMatrix(C$11,C6)</f>
        <v>(0.48;0.41;0.12)</v>
      </c>
      <c r="D17" s="14" t="str" cm="1">
        <f t="array" ref="D17">TFNSMatrix(D$11,D6)</f>
        <v>(0.27;0.66;0.07)</v>
      </c>
      <c r="E17" s="14" t="str" cm="1">
        <f t="array" ref="E17">TFNSMatrix(E$11,E6)</f>
        <v>(0.35;0.6;0.05)</v>
      </c>
      <c r="F17" s="14" t="str" cm="1">
        <f t="array" ref="F17">TFNSMatrix(F$11,F6)</f>
        <v>(0.23;0.69;0.08)</v>
      </c>
      <c r="G17" s="14" t="str" cm="1">
        <f t="array" ref="G17">TFNSMatrix(G$11,G6)</f>
        <v>(0.31;0.62;0.07)</v>
      </c>
      <c r="H17" s="14" t="str" cm="1">
        <f t="array" ref="H17">TFNSMatrix(H$11,H6)</f>
        <v>(0.28;0.64;0.08)</v>
      </c>
      <c r="I17" s="14" t="str" cm="1">
        <f t="array" ref="I17">TFNSMatrix(I$11,I6)</f>
        <v>(0.39;0.56;0.05)</v>
      </c>
      <c r="J17" s="14" t="str" cm="1">
        <f t="array" ref="J17">TFNSMatrix(J$11,J6)</f>
        <v>(0.27;0.7;0.03)</v>
      </c>
      <c r="K17" s="20" t="str" cm="1">
        <f t="array" ref="K17">TFNSMatrix(K$11,K6)</f>
        <v>(0.64;0.24;0.12)</v>
      </c>
    </row>
    <row r="18" spans="1:11" ht="17" thickBot="1" x14ac:dyDescent="0.25">
      <c r="A18" s="68" t="s">
        <v>63</v>
      </c>
      <c r="B18" s="28" t="str" cm="1">
        <f t="array" ref="B18">TFNSMatrix(B$11,B7)</f>
        <v>(0.83;0.15;0.02)</v>
      </c>
      <c r="C18" s="29" t="str" cm="1">
        <f t="array" ref="C18">TFNSMatrix(C$11,C7)</f>
        <v>(0.68;0.26;0.06)</v>
      </c>
      <c r="D18" s="29" t="str" cm="1">
        <f t="array" ref="D18">TFNSMatrix(D$11,D7)</f>
        <v>(0.39;0.52;0.09)</v>
      </c>
      <c r="E18" s="29" t="str" cm="1">
        <f t="array" ref="E18">TFNSMatrix(E$11,E7)</f>
        <v>(0.82;0.15;0.03)</v>
      </c>
      <c r="F18" s="29" t="str" cm="1">
        <f t="array" ref="F18">TFNSMatrix(F$11,F7)</f>
        <v>(0.63;0.35;0.02)</v>
      </c>
      <c r="G18" s="29" t="str" cm="1">
        <f t="array" ref="G18">TFNSMatrix(G$11,G7)</f>
        <v>(0.8;0.17;0.03)</v>
      </c>
      <c r="H18" s="29" t="str" cm="1">
        <f t="array" ref="H18">TFNSMatrix(H$11,H7)</f>
        <v>(0.59;0.36;0.05)</v>
      </c>
      <c r="I18" s="29" t="str" cm="1">
        <f t="array" ref="I18">TFNSMatrix(I$11,I7)</f>
        <v>(0.39;0.56;0.05)</v>
      </c>
      <c r="J18" s="29" t="str" cm="1">
        <f t="array" ref="J18">TFNSMatrix(J$11,J7)</f>
        <v>(0.79;0.19;0.02)</v>
      </c>
      <c r="K18" s="24" t="str" cm="1">
        <f t="array" ref="K18">TFNSMatrix(K$11,K7)</f>
        <v>(0.75;0.2;0.05)</v>
      </c>
    </row>
    <row r="19" spans="1:11" x14ac:dyDescent="0.2">
      <c r="B19" s="25" t="s">
        <v>94</v>
      </c>
    </row>
    <row r="20" spans="1:11" ht="17" thickBot="1" x14ac:dyDescent="0.25">
      <c r="B20" s="25"/>
    </row>
    <row r="21" spans="1:11" ht="20" thickBot="1" x14ac:dyDescent="0.3">
      <c r="A21" s="92" t="s">
        <v>118</v>
      </c>
      <c r="B21" s="91"/>
      <c r="C21" s="87"/>
      <c r="D21" s="93"/>
      <c r="E21" s="93"/>
      <c r="F21" s="89"/>
    </row>
    <row r="22" spans="1:11" ht="17" thickBot="1" x14ac:dyDescent="0.25">
      <c r="A22" s="69" t="s">
        <v>87</v>
      </c>
      <c r="B22" s="4" t="s">
        <v>88</v>
      </c>
    </row>
    <row r="23" spans="1:11" x14ac:dyDescent="0.2">
      <c r="B23" s="83" t="s">
        <v>48</v>
      </c>
      <c r="C23" s="83" t="s">
        <v>49</v>
      </c>
      <c r="D23" s="83" t="s">
        <v>50</v>
      </c>
      <c r="E23" s="83" t="s">
        <v>51</v>
      </c>
      <c r="F23" s="83" t="s">
        <v>52</v>
      </c>
      <c r="G23" s="83" t="s">
        <v>53</v>
      </c>
      <c r="H23" s="82" t="s">
        <v>54</v>
      </c>
      <c r="I23" s="83" t="s">
        <v>55</v>
      </c>
      <c r="J23" s="84" t="s">
        <v>56</v>
      </c>
      <c r="K23" s="85" t="s">
        <v>57</v>
      </c>
    </row>
    <row r="24" spans="1:11" ht="17" thickBot="1" x14ac:dyDescent="0.25">
      <c r="B24" s="73" t="str" cm="1">
        <f t="array" ref="B24">TFNIdealMaxFinder(B15:B18)</f>
        <v>(0.83;0.15;0.02)</v>
      </c>
      <c r="C24" s="73" t="str" cm="1">
        <f t="array" ref="C24">TFNIdealMaxFinder(C15:C18)</f>
        <v>(0.68;0.26;0.06)</v>
      </c>
      <c r="D24" s="73" t="str" cm="1">
        <f t="array" ref="D24">TFNIdealMaxFinder(D15:D18)</f>
        <v>(0.4;0.51;0.09)</v>
      </c>
      <c r="E24" s="73" t="str" cm="1">
        <f t="array" ref="E24">TFNIdealMaxFinder(E15:E18)</f>
        <v>(0.82;0.15;0.03)</v>
      </c>
      <c r="F24" s="73" t="str" cm="1">
        <f t="array" ref="F24">TFNIdealMaxFinder(F15:F18)</f>
        <v>(0.63;0.35;0.02)</v>
      </c>
      <c r="G24" s="73" t="str" cm="1">
        <f t="array" ref="G24">TFNIdealMaxFinder(G15:G18)</f>
        <v>(0.8;0.17;0.03)</v>
      </c>
      <c r="H24" s="73" t="str" cm="1">
        <f t="array" ref="H24">TFNIdealMinFinder(H15:H18)</f>
        <v>(0.28;0.64;0.08)</v>
      </c>
      <c r="I24" s="73" t="str" cm="1">
        <f t="array" ref="I24">TFNIdealMaxFinder(I15:I18)</f>
        <v>(0.39;0.56;0.05)</v>
      </c>
      <c r="J24" s="73" t="str" cm="1">
        <f t="array" ref="J24">TFNIdealMaxFinder(J15:J18)</f>
        <v>(0.79;0.19;0.02)</v>
      </c>
      <c r="K24" s="73" t="str" cm="1">
        <f t="array" ref="K24">TFNIdealMaxFinder(K15:K18)</f>
        <v>(0.75;0.2;0.05)</v>
      </c>
    </row>
    <row r="25" spans="1:11" x14ac:dyDescent="0.2">
      <c r="B25" s="25" t="s">
        <v>95</v>
      </c>
      <c r="H25" s="25"/>
    </row>
    <row r="27" spans="1:11" ht="17" thickBot="1" x14ac:dyDescent="0.25">
      <c r="A27" s="69" t="s">
        <v>89</v>
      </c>
      <c r="B27" s="4" t="s">
        <v>90</v>
      </c>
    </row>
    <row r="28" spans="1:11" x14ac:dyDescent="0.2">
      <c r="B28" s="83" t="s">
        <v>48</v>
      </c>
      <c r="C28" s="83" t="s">
        <v>49</v>
      </c>
      <c r="D28" s="83" t="s">
        <v>50</v>
      </c>
      <c r="E28" s="83" t="s">
        <v>51</v>
      </c>
      <c r="F28" s="83" t="s">
        <v>52</v>
      </c>
      <c r="G28" s="83" t="s">
        <v>53</v>
      </c>
      <c r="H28" s="82" t="s">
        <v>54</v>
      </c>
      <c r="I28" s="83" t="s">
        <v>55</v>
      </c>
      <c r="J28" s="84" t="s">
        <v>56</v>
      </c>
      <c r="K28" s="85" t="s">
        <v>57</v>
      </c>
    </row>
    <row r="29" spans="1:11" ht="17" thickBot="1" x14ac:dyDescent="0.25">
      <c r="B29" s="73" t="str" cm="1">
        <f t="array" ref="B29">TFNIdealMinFinder(B15:B18)</f>
        <v>(0.64;0.25;0.11)</v>
      </c>
      <c r="C29" s="73" t="str" cm="1">
        <f t="array" ref="C29">TFNIdealMinFinder(C15:C18)</f>
        <v>(0.48;0.41;0.12)</v>
      </c>
      <c r="D29" s="73" t="str" cm="1">
        <f t="array" ref="D29">TFNIdealMinFinder(D15:D18)</f>
        <v>(0.27;0.66;0.07)</v>
      </c>
      <c r="E29" s="73" t="str" cm="1">
        <f t="array" ref="E29">TFNIdealMinFinder(E15:E18)</f>
        <v>(0.35;0.6;0.05)</v>
      </c>
      <c r="F29" s="73" t="str" cm="1">
        <f t="array" ref="F29">TFNIdealMinFinder(F15:F18)</f>
        <v>(0.23;0.69;0.08)</v>
      </c>
      <c r="G29" s="73" t="str" cm="1">
        <f t="array" ref="G29">TFNIdealMinFinder(G15:G18)</f>
        <v>(0.31;0.62;0.07)</v>
      </c>
      <c r="H29" s="73" t="str" cm="1">
        <f t="array" ref="H29">TFNIdealMaxFinder(H15:H18)</f>
        <v>(0.59;0.36;0.05)</v>
      </c>
      <c r="I29" s="73" t="str" cm="1">
        <f t="array" ref="I29">TFNIdealMinFinder(I15:I18)</f>
        <v>(0.39;0.56;0.05)</v>
      </c>
      <c r="J29" s="73" t="str" cm="1">
        <f t="array" ref="J29">TFNIdealMinFinder(J15:J18)</f>
        <v>(0.27;0.7;0.03)</v>
      </c>
      <c r="K29" s="73" t="str" cm="1">
        <f t="array" ref="K29">TFNIdealMinFinder(K15:K18)</f>
        <v>(0.64;0.24;0.12)</v>
      </c>
    </row>
    <row r="30" spans="1:11" x14ac:dyDescent="0.2">
      <c r="B30" s="25"/>
      <c r="H30" s="25"/>
    </row>
    <row r="31" spans="1:11" ht="17" thickBot="1" x14ac:dyDescent="0.25">
      <c r="B31" s="25"/>
    </row>
    <row r="32" spans="1:11" ht="20" thickBot="1" x14ac:dyDescent="0.3">
      <c r="A32" s="92" t="s">
        <v>119</v>
      </c>
      <c r="B32" s="91"/>
      <c r="C32" s="87"/>
      <c r="D32" s="93"/>
      <c r="E32" s="89"/>
    </row>
    <row r="33" spans="1:13" x14ac:dyDescent="0.2">
      <c r="A33" s="1" t="s">
        <v>109</v>
      </c>
    </row>
    <row r="34" spans="1:13" x14ac:dyDescent="0.2">
      <c r="B34" s="95" cm="1">
        <f t="array" ref="B34">TFNSDistanceFinder(B15,B$24)</f>
        <v>4.8599999999999977E-2</v>
      </c>
      <c r="C34" s="95" cm="1">
        <f t="array" ref="C34">TFNSDistanceFinder(C15,C$24)</f>
        <v>1.5200000000000016E-2</v>
      </c>
      <c r="D34" s="95" cm="1">
        <f t="array" ref="D34">TFNSDistanceFinder(D15,D$24)</f>
        <v>9.000000000000016E-4</v>
      </c>
      <c r="E34" s="95" cm="1">
        <f t="array" ref="E34">TFNSDistanceFinder(E15,E$24)</f>
        <v>0.14779999999999996</v>
      </c>
      <c r="F34" s="95" cm="1">
        <f t="array" ref="F34">TFNSDistanceFinder(F15,F$24)</f>
        <v>9.0600000000000014E-2</v>
      </c>
      <c r="G34" s="95" cm="1">
        <f t="array" ref="G34">TFNSDistanceFinder(G15,G$24)</f>
        <v>6.4900000000000027E-2</v>
      </c>
      <c r="H34" s="95" cm="1">
        <f t="array" ref="H34">TFNSDistanceFinder(H15,H$24)</f>
        <v>7.799999999999997E-3</v>
      </c>
      <c r="I34" s="95" cm="1">
        <f t="array" ref="I34">TFNSDistanceFinder(I15,I$24)</f>
        <v>0</v>
      </c>
      <c r="J34" s="95" cm="1">
        <f t="array" ref="J34">TFNSDistanceFinder(J15,J$24)</f>
        <v>8.9599999999999999E-2</v>
      </c>
      <c r="K34" s="95" cm="1">
        <f t="array" ref="K34">TFNSDistanceFinder(K15,K$24)</f>
        <v>0</v>
      </c>
      <c r="M34" s="81"/>
    </row>
    <row r="35" spans="1:13" x14ac:dyDescent="0.2">
      <c r="B35" s="95" cm="1">
        <f t="array" ref="B35">TFNSDistanceFinder(B16,B$24)</f>
        <v>0</v>
      </c>
      <c r="C35" s="95" cm="1">
        <f t="array" ref="C35">TFNSDistanceFinder(C16,C$24)</f>
        <v>0</v>
      </c>
      <c r="D35" s="95" cm="1">
        <f t="array" ref="D35">TFNSDistanceFinder(D16,D$24)</f>
        <v>0</v>
      </c>
      <c r="E35" s="95" cm="1">
        <f t="array" ref="E35">TFNSDistanceFinder(E16,E$24)</f>
        <v>0</v>
      </c>
      <c r="F35" s="95" cm="1">
        <f t="array" ref="F35">TFNSDistanceFinder(F16,F$24)</f>
        <v>0</v>
      </c>
      <c r="G35" s="95" cm="1">
        <f t="array" ref="G35">TFNSDistanceFinder(G16,G$24)</f>
        <v>2.2399999999999996E-2</v>
      </c>
      <c r="H35" s="95" cm="1">
        <f t="array" ref="H35">TFNSDistanceFinder(H16,H$24)</f>
        <v>8.539999999999999E-2</v>
      </c>
      <c r="I35" s="95" cm="1">
        <f t="array" ref="I35">TFNSDistanceFinder(I16,I$24)</f>
        <v>0</v>
      </c>
      <c r="J35" s="95" cm="1">
        <f t="array" ref="J35">TFNSDistanceFinder(J16,J$24)</f>
        <v>3.4200000000000008E-2</v>
      </c>
      <c r="K35" s="95" cm="1">
        <f t="array" ref="K35">TFNSDistanceFinder(K16,K$24)</f>
        <v>0</v>
      </c>
    </row>
    <row r="36" spans="1:13" x14ac:dyDescent="0.2">
      <c r="B36" s="95" cm="1">
        <f t="array" ref="B36">TFNSDistanceFinder(B17,B$24)</f>
        <v>5.4199999999999984E-2</v>
      </c>
      <c r="C36" s="95" cm="1">
        <f t="array" ref="C36">TFNSDistanceFinder(C17,C$24)</f>
        <v>6.610000000000002E-2</v>
      </c>
      <c r="D36" s="95" cm="1">
        <f t="array" ref="D36">TFNSDistanceFinder(D17,D$24)</f>
        <v>3.9800000000000002E-2</v>
      </c>
      <c r="E36" s="95" cm="1">
        <f t="array" ref="E36">TFNSDistanceFinder(E17,E$24)</f>
        <v>0.42379999999999995</v>
      </c>
      <c r="F36" s="95" cm="1">
        <f t="array" ref="F36">TFNSDistanceFinder(F17,F$24)</f>
        <v>0.2792</v>
      </c>
      <c r="G36" s="95" cm="1">
        <f t="array" ref="G36">TFNSDistanceFinder(G17,G$24)</f>
        <v>0.44419999999999998</v>
      </c>
      <c r="H36" s="95" cm="1">
        <f t="array" ref="H36">TFNSDistanceFinder(H17,H$24)</f>
        <v>0</v>
      </c>
      <c r="I36" s="95" cm="1">
        <f t="array" ref="I36">TFNSDistanceFinder(I17,I$24)</f>
        <v>0</v>
      </c>
      <c r="J36" s="95" cm="1">
        <f t="array" ref="J36">TFNSDistanceFinder(J17,J$24)</f>
        <v>0.53059999999999996</v>
      </c>
      <c r="K36" s="95" cm="1">
        <f t="array" ref="K36">TFNSDistanceFinder(K17,K$24)</f>
        <v>1.8599999999999995E-2</v>
      </c>
    </row>
    <row r="37" spans="1:13" x14ac:dyDescent="0.2">
      <c r="B37" s="95" cm="1">
        <f t="array" ref="B37">TFNSDistanceFinder(B18,B$24)</f>
        <v>0</v>
      </c>
      <c r="C37" s="95" cm="1">
        <f t="array" ref="C37">TFNSDistanceFinder(C18,C$24)</f>
        <v>0</v>
      </c>
      <c r="D37" s="95" cm="1">
        <f t="array" ref="D37">TFNSDistanceFinder(D18,D$24)</f>
        <v>2.0000000000000036E-4</v>
      </c>
      <c r="E37" s="95" cm="1">
        <f t="array" ref="E37">TFNSDistanceFinder(E18,E$24)</f>
        <v>0</v>
      </c>
      <c r="F37" s="95" cm="1">
        <f t="array" ref="F37">TFNSDistanceFinder(F18,F$24)</f>
        <v>0</v>
      </c>
      <c r="G37" s="95" cm="1">
        <f t="array" ref="G37">TFNSDistanceFinder(G18,G$24)</f>
        <v>0</v>
      </c>
      <c r="H37" s="95" cm="1">
        <f t="array" ref="H37">TFNSDistanceFinder(H18,H$24)</f>
        <v>0.1754</v>
      </c>
      <c r="I37" s="95" cm="1">
        <f t="array" ref="I37">TFNSDistanceFinder(I18,I$24)</f>
        <v>0</v>
      </c>
      <c r="J37" s="95" cm="1">
        <f t="array" ref="J37">TFNSDistanceFinder(J18,J$24)</f>
        <v>0</v>
      </c>
      <c r="K37" s="95" cm="1">
        <f t="array" ref="K37">TFNSDistanceFinder(K18,K$24)</f>
        <v>0</v>
      </c>
    </row>
    <row r="38" spans="1:13" x14ac:dyDescent="0.2">
      <c r="B38" s="25"/>
    </row>
    <row r="40" spans="1:13" x14ac:dyDescent="0.2">
      <c r="A40" s="1" t="s">
        <v>107</v>
      </c>
      <c r="D40" t="s">
        <v>108</v>
      </c>
    </row>
    <row r="41" spans="1:13" x14ac:dyDescent="0.2">
      <c r="B41" s="95" cm="1">
        <f t="array" ref="B41">TFNSDistanceFinder(B15,B$29)</f>
        <v>2.0000000000000036E-4</v>
      </c>
      <c r="C41" s="95" cm="1">
        <f t="array" ref="C41">TFNSDistanceFinder(C15,C$29)</f>
        <v>2.2099999999999995E-2</v>
      </c>
      <c r="D41" s="95" cm="1">
        <f t="array" ref="D41">TFNSDistanceFinder(D15,D$29)</f>
        <v>2.9899999999999999E-2</v>
      </c>
      <c r="E41" s="95" cm="1">
        <f t="array" ref="E41">TFNSDistanceFinder(E15,E$29)</f>
        <v>7.980000000000001E-2</v>
      </c>
      <c r="F41" s="95" cm="1">
        <f t="array" ref="F41">TFNSDistanceFinder(F15,F$29)</f>
        <v>5.1799999999999978E-2</v>
      </c>
      <c r="G41" s="95" cm="1">
        <f t="array" ref="G41">TFNSDistanceFinder(G15,G$29)</f>
        <v>0.18889999999999998</v>
      </c>
      <c r="H41" s="95" cm="1">
        <f t="array" ref="H41">TFNSDistanceFinder(H15,$H$29)</f>
        <v>0.11059999999999999</v>
      </c>
      <c r="I41" s="95" cm="1">
        <f t="array" ref="I41">TFNSDistanceFinder(I15,I$29)</f>
        <v>0</v>
      </c>
      <c r="J41" s="95" cm="1">
        <f t="array" ref="J41">TFNSDistanceFinder(J15,J$29)</f>
        <v>0.20579999999999998</v>
      </c>
      <c r="K41" s="95" cm="1">
        <f t="array" ref="K41">TFNSDistanceFinder(K15,K$29)</f>
        <v>1.8599999999999995E-2</v>
      </c>
    </row>
    <row r="42" spans="1:13" x14ac:dyDescent="0.2">
      <c r="B42" s="95" cm="1">
        <f t="array" ref="B42">TFNSDistanceFinder(B16,B$29)</f>
        <v>5.4199999999999984E-2</v>
      </c>
      <c r="C42" s="95" cm="1">
        <f t="array" ref="C42">TFNSDistanceFinder(C16,C$29)</f>
        <v>6.610000000000002E-2</v>
      </c>
      <c r="D42" s="95" cm="1">
        <f t="array" ref="D42">TFNSDistanceFinder(D16,D$29)</f>
        <v>3.9800000000000002E-2</v>
      </c>
      <c r="E42" s="95" cm="1">
        <f t="array" ref="E42">TFNSDistanceFinder(E16,E$29)</f>
        <v>0.42379999999999995</v>
      </c>
      <c r="F42" s="95" cm="1">
        <f t="array" ref="F42">TFNSDistanceFinder(F16,F$29)</f>
        <v>0.2792</v>
      </c>
      <c r="G42" s="95" cm="1">
        <f t="array" ref="G42">TFNSDistanceFinder(G16,G$29)</f>
        <v>0.30660000000000004</v>
      </c>
      <c r="H42" s="95" cm="1">
        <f t="array" ref="H42">TFNSDistanceFinder(H16,$H$29)</f>
        <v>2.1599999999999998E-2</v>
      </c>
      <c r="I42" s="95" cm="1">
        <f t="array" ref="I42">TFNSDistanceFinder(I16,I$29)</f>
        <v>0</v>
      </c>
      <c r="J42" s="95" cm="1">
        <f t="array" ref="J42">TFNSDistanceFinder(J16,J$29)</f>
        <v>0.34579999999999994</v>
      </c>
      <c r="K42" s="95" cm="1">
        <f t="array" ref="K42">TFNSDistanceFinder(K16,K$29)</f>
        <v>1.8599999999999995E-2</v>
      </c>
    </row>
    <row r="43" spans="1:13" x14ac:dyDescent="0.2">
      <c r="B43" s="95" cm="1">
        <f t="array" ref="B43">TFNSDistanceFinder(B17,B$29)</f>
        <v>0</v>
      </c>
      <c r="C43" s="95" cm="1">
        <f t="array" ref="C43">TFNSDistanceFinder(C17,C$29)</f>
        <v>0</v>
      </c>
      <c r="D43" s="95" cm="1">
        <f t="array" ref="D43">TFNSDistanceFinder(D17,D$29)</f>
        <v>0</v>
      </c>
      <c r="E43" s="95" cm="1">
        <f t="array" ref="E43">TFNSDistanceFinder(E17,E$29)</f>
        <v>0</v>
      </c>
      <c r="F43" s="95" cm="1">
        <f t="array" ref="F43">TFNSDistanceFinder(F17,F$29)</f>
        <v>0</v>
      </c>
      <c r="G43" s="95" cm="1">
        <f t="array" ref="G43">TFNSDistanceFinder(G17,G$29)</f>
        <v>0</v>
      </c>
      <c r="H43" s="95" cm="1">
        <f t="array" ref="H43">TFNSDistanceFinder(H17,$H$29)</f>
        <v>0.1754</v>
      </c>
      <c r="I43" s="95" cm="1">
        <f t="array" ref="I43">TFNSDistanceFinder(I17,I$29)</f>
        <v>0</v>
      </c>
      <c r="J43" s="95" cm="1">
        <f t="array" ref="J43">TFNSDistanceFinder(J17,J$29)</f>
        <v>0</v>
      </c>
      <c r="K43" s="95" cm="1">
        <f t="array" ref="K43">TFNSDistanceFinder(K17,K$29)</f>
        <v>0</v>
      </c>
    </row>
    <row r="44" spans="1:13" x14ac:dyDescent="0.2">
      <c r="B44" s="95" cm="1">
        <f t="array" ref="B44">TFNSDistanceFinder(B18,B$29)</f>
        <v>5.4199999999999984E-2</v>
      </c>
      <c r="C44" s="95" cm="1">
        <f t="array" ref="C44">TFNSDistanceFinder(C18,C$29)</f>
        <v>6.610000000000002E-2</v>
      </c>
      <c r="D44" s="95" cm="1">
        <f t="array" ref="D44">TFNSDistanceFinder(D18,D$29)</f>
        <v>3.44E-2</v>
      </c>
      <c r="E44" s="95" cm="1">
        <f t="array" ref="E44">TFNSDistanceFinder(E18,E$29)</f>
        <v>0.42379999999999995</v>
      </c>
      <c r="F44" s="95" cm="1">
        <f t="array" ref="F44">TFNSDistanceFinder(F18,F$29)</f>
        <v>0.2792</v>
      </c>
      <c r="G44" s="95" cm="1">
        <f t="array" ref="G44">TFNSDistanceFinder(G18,G$29)</f>
        <v>0.44419999999999998</v>
      </c>
      <c r="H44" s="95" cm="1">
        <f t="array" ref="H44">TFNSDistanceFinder(H18,$H$29)</f>
        <v>0</v>
      </c>
      <c r="I44" s="95" cm="1">
        <f t="array" ref="I44">TFNSDistanceFinder(I18,I$29)</f>
        <v>0</v>
      </c>
      <c r="J44" s="95" cm="1">
        <f t="array" ref="J44">TFNSDistanceFinder(J18,J$29)</f>
        <v>0.53059999999999996</v>
      </c>
      <c r="K44" s="95" cm="1">
        <f t="array" ref="K44">TFNSDistanceFinder(K18,K$29)</f>
        <v>1.8599999999999995E-2</v>
      </c>
    </row>
    <row r="45" spans="1:13" x14ac:dyDescent="0.2">
      <c r="B45" s="25"/>
    </row>
    <row r="46" spans="1:13" ht="17" thickBot="1" x14ac:dyDescent="0.25"/>
    <row r="47" spans="1:13" ht="20" thickBot="1" x14ac:dyDescent="0.3">
      <c r="A47" s="90" t="s">
        <v>120</v>
      </c>
      <c r="B47" s="91"/>
      <c r="C47" s="88"/>
    </row>
    <row r="48" spans="1:13" ht="17" thickBot="1" x14ac:dyDescent="0.25">
      <c r="A48" s="78" t="s">
        <v>97</v>
      </c>
    </row>
    <row r="49" spans="1:5" x14ac:dyDescent="0.2">
      <c r="A49" s="96"/>
      <c r="B49" s="103" t="s">
        <v>91</v>
      </c>
      <c r="C49" s="99" t="s">
        <v>92</v>
      </c>
      <c r="D49" s="103" t="s">
        <v>93</v>
      </c>
      <c r="E49" s="100" t="s">
        <v>96</v>
      </c>
    </row>
    <row r="50" spans="1:5" x14ac:dyDescent="0.2">
      <c r="A50" s="97" t="s">
        <v>60</v>
      </c>
      <c r="B50" s="110" cm="1">
        <f t="array" ref="B50">TFNSTotalDistance(B34:K34)</f>
        <v>0.15254507530562891</v>
      </c>
      <c r="C50" s="111" cm="1">
        <f t="array" ref="C50">TFNSTotalDistance(B41:K41)</f>
        <v>0.18810901094843913</v>
      </c>
      <c r="D50" s="110" cm="1">
        <f t="array" ref="D50">ClosenessCoeff(B50,C50)</f>
        <v>0.5521994848702414</v>
      </c>
      <c r="E50" s="101">
        <f>RANK(D50,$D$50:$D$53)</f>
        <v>3</v>
      </c>
    </row>
    <row r="51" spans="1:5" x14ac:dyDescent="0.2">
      <c r="A51" s="97" t="s">
        <v>61</v>
      </c>
      <c r="B51" s="110" cm="1">
        <f t="array" ref="B51">TFNSTotalDistance(B35:K35)</f>
        <v>8.4261497731763585E-2</v>
      </c>
      <c r="C51" s="111" cm="1">
        <f t="array" ref="C51">TFNSTotalDistance(B42:K42)</f>
        <v>0.27889962352072117</v>
      </c>
      <c r="D51" s="110" cm="1">
        <f t="array" ref="D51">ClosenessCoeff(B51,C51)</f>
        <v>0.76797764738373109</v>
      </c>
      <c r="E51" s="101">
        <f>RANK(D51,$D$50:$D$53)</f>
        <v>1</v>
      </c>
    </row>
    <row r="52" spans="1:5" x14ac:dyDescent="0.2">
      <c r="A52" s="97" t="s">
        <v>62</v>
      </c>
      <c r="B52" s="110" cm="1">
        <f t="array" ref="B52">TFNSTotalDistance(B36:K36)</f>
        <v>0.30467195473164244</v>
      </c>
      <c r="C52" s="111" cm="1">
        <f t="array" ref="C52">TFNSTotalDistance(B43:K43)</f>
        <v>9.3648278147545241E-2</v>
      </c>
      <c r="D52" s="110" cm="1">
        <f t="array" ref="D52">ClosenessCoeff(B52,C52)</f>
        <v>0.23510801214044577</v>
      </c>
      <c r="E52" s="101">
        <f>RANK(D52,$D$50:$D$53)</f>
        <v>4</v>
      </c>
    </row>
    <row r="53" spans="1:5" ht="17" thickBot="1" x14ac:dyDescent="0.25">
      <c r="A53" s="98" t="s">
        <v>63</v>
      </c>
      <c r="B53" s="112" cm="1">
        <f t="array" ref="B53">TFNSTotalDistance(B37:K37)</f>
        <v>9.3701654200979825E-2</v>
      </c>
      <c r="C53" s="113" cm="1">
        <f t="array" ref="C53">TFNSTotalDistance(B44:K44)</f>
        <v>0.30422853252119531</v>
      </c>
      <c r="D53" s="112" cm="1">
        <f t="array" ref="D53">ClosenessCoeff(B53,C53)</f>
        <v>0.76452740373175065</v>
      </c>
      <c r="E53" s="102">
        <f>RANK(D53,$D$50:$D$53)</f>
        <v>2</v>
      </c>
    </row>
    <row r="54" spans="1:5" x14ac:dyDescent="0.2">
      <c r="B54" s="25"/>
      <c r="D54" s="25"/>
    </row>
  </sheetData>
  <phoneticPr fontId="7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DM-Weight-Calculation</vt:lpstr>
      <vt:lpstr>Criteria-Weight-Calculation</vt:lpstr>
      <vt:lpstr>Constructing-R-Matrix</vt:lpstr>
      <vt:lpstr>S-Matrix-Final-Rankings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Aslıgül</dc:creator>
  <cp:lastModifiedBy>Mustafa Ekrem</cp:lastModifiedBy>
  <dcterms:created xsi:type="dcterms:W3CDTF">2022-06-06T20:06:02Z</dcterms:created>
  <dcterms:modified xsi:type="dcterms:W3CDTF">2022-06-16T17:12:06Z</dcterms:modified>
</cp:coreProperties>
</file>